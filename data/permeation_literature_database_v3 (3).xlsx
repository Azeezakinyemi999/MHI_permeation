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Metals_Bulk" sheetId="2" state="visible" r:id="rId2"/>
    <sheet xmlns:r="http://schemas.openxmlformats.org/officeDocument/2006/relationships" name="Metals_SurfKin" sheetId="3" state="visible" r:id="rId3"/>
    <sheet xmlns:r="http://schemas.openxmlformats.org/officeDocument/2006/relationships" name="Oxides_Transport" sheetId="4" state="visible" r:id="rId4"/>
    <sheet xmlns:r="http://schemas.openxmlformats.org/officeDocument/2006/relationships" name="Oxides_SurfKin" sheetId="5" state="visible" r:id="rId5"/>
    <sheet xmlns:r="http://schemas.openxmlformats.org/officeDocument/2006/relationships" name="Sources" sheetId="6" state="visible" r:id="rId6"/>
    <sheet xmlns:r="http://schemas.openxmlformats.org/officeDocument/2006/relationships" name="Metals_Bulk_H2" sheetId="7" state="visible" r:id="rId7"/>
    <sheet xmlns:r="http://schemas.openxmlformats.org/officeDocument/2006/relationships" name="Isotope_Scaling_Method" sheetId="8" state="visible" r:id="rId8"/>
    <sheet xmlns:r="http://schemas.openxmlformats.org/officeDocument/2006/relationships" name="NiAlloy_Parameter_Analysis" sheetId="9" state="visible" r:id="rId9"/>
    <sheet xmlns:r="http://schemas.openxmlformats.org/officeDocument/2006/relationships" name="Chen2011_RawData" sheetId="10" state="visible" r:id="rId10"/>
    <sheet xmlns:r="http://schemas.openxmlformats.org/officeDocument/2006/relationships" name="Nemanic2023_RawData" sheetId="11" state="visible" r:id="rId11"/>
    <sheet xmlns:r="http://schemas.openxmlformats.org/officeDocument/2006/relationships" name="Nemanic2019_RawData" sheetId="12" state="visible" r:id="rId12"/>
    <sheet xmlns:r="http://schemas.openxmlformats.org/officeDocument/2006/relationships" name="Stover1986_RawData" sheetId="13" state="visible" r:id="rId13"/>
    <sheet xmlns:r="http://schemas.openxmlformats.org/officeDocument/2006/relationships" name="Levchuk2004_RawData" sheetId="14" state="visible" r:id="rId14"/>
    <sheet xmlns:r="http://schemas.openxmlformats.org/officeDocument/2006/relationships" name="Medasani2019_RawData" sheetId="15" state="visible" r:id="rId15"/>
    <sheet xmlns:r="http://schemas.openxmlformats.org/officeDocument/2006/relationships" name="PerngAltstetter1986_RawData" sheetId="16" state="visible" r:id="rId16"/>
    <sheet xmlns:r="http://schemas.openxmlformats.org/officeDocument/2006/relationships" name="Grant1988_RawData" sheetId="17" state="visible" r:id="rId17"/>
    <sheet xmlns:r="http://schemas.openxmlformats.org/officeDocument/2006/relationships" name="Yamawaki1989_RawData" sheetId="18" state="visible" r:id="rId18"/>
    <sheet xmlns:r="http://schemas.openxmlformats.org/officeDocument/2006/relationships" name="SwansigerBastasz1979_RawData" sheetId="19" state="visible" r:id="rId19"/>
    <sheet xmlns:r="http://schemas.openxmlformats.org/officeDocument/2006/relationships" name="MetalSurfKin_Analysis" sheetId="20" state="visible" r:id="rId20"/>
    <sheet xmlns:r="http://schemas.openxmlformats.org/officeDocument/2006/relationships" name="Cr2O3_Transport_Analysis" sheetId="21" state="visible" r:id="rId21"/>
    <sheet xmlns:r="http://schemas.openxmlformats.org/officeDocument/2006/relationships" name="Al2O3_Transport_Analysis" sheetId="22" state="visible" r:id="rId22"/>
    <sheet xmlns:r="http://schemas.openxmlformats.org/officeDocument/2006/relationships" name="OxideSurfKin_Analysis" sheetId="23" state="visible" r:id="rId23"/>
    <sheet xmlns:r="http://schemas.openxmlformats.org/officeDocument/2006/relationships" name="Young1997_RawData" sheetId="24" state="visible" r:id="rId24"/>
    <sheet xmlns:r="http://schemas.openxmlformats.org/officeDocument/2006/relationships" name="Tateyama2003_RawData" sheetId="25" state="visible" r:id="rId25"/>
    <sheet xmlns:r="http://schemas.openxmlformats.org/officeDocument/2006/relationships" name="Jain2026_RawData" sheetId="26" state="visible" r:id="rId26"/>
    <sheet xmlns:r="http://schemas.openxmlformats.org/officeDocument/2006/relationships" name="Zhu2021_RawData" sheetId="27" state="visible" r:id="rId27"/>
    <sheet xmlns:r="http://schemas.openxmlformats.org/officeDocument/2006/relationships" name="Lu2022_RawData" sheetId="28" state="visible" r:id="rId28"/>
    <sheet xmlns:r="http://schemas.openxmlformats.org/officeDocument/2006/relationships" name="Zhou2016_RawData" sheetId="29" state="visible" r:id="rId29"/>
    <sheet xmlns:r="http://schemas.openxmlformats.org/officeDocument/2006/relationships" name="Microstructure_Analysis" sheetId="30" state="visible" r:id="rId30"/>
  </sheets>
  <definedNames/>
  <calcPr calcId="124519" fullCalcOnLoad="1"/>
</workbook>
</file>

<file path=xl/styles.xml><?xml version="1.0" encoding="utf-8"?>
<styleSheet xmlns="http://schemas.openxmlformats.org/spreadsheetml/2006/main">
  <numFmts count="3">
    <numFmt numFmtId="164" formatCode="0.000E+00"/>
    <numFmt numFmtId="165" formatCode="#,##0.##"/>
    <numFmt numFmtId="166" formatCode="#,##0.####"/>
  </numFmts>
  <fonts count="42">
    <font>
      <name val="Calibri"/>
      <family val="2"/>
      <color theme="1"/>
      <sz val="11"/>
      <scheme val="minor"/>
    </font>
    <font>
      <name val="Arial"/>
      <b val="1"/>
      <color rgb="FFFFFFFF"/>
      <sz val="18"/>
    </font>
    <font>
      <name val="Arial"/>
      <i val="1"/>
      <color rgb="FFAAAAAA"/>
      <sz val="10"/>
    </font>
    <font>
      <name val="Arial"/>
      <b val="1"/>
      <color rgb="FFFFFFFF"/>
      <sz val="10"/>
    </font>
    <font>
      <name val="Arial"/>
      <color rgb="FFFFFFFF"/>
      <sz val="9"/>
    </font>
    <font>
      <name val="Arial"/>
      <b val="1"/>
      <color rgb="FFDDAA00"/>
      <sz val="9"/>
    </font>
    <font>
      <name val="Arial"/>
      <color rgb="FFCCCCCC"/>
      <sz val="9"/>
    </font>
    <font>
      <name val="Arial"/>
      <b val="1"/>
      <color rgb="FFFFFFFF"/>
      <sz val="13"/>
    </font>
    <font>
      <name val="Arial"/>
      <i val="1"/>
      <color rgb="FF555555"/>
      <sz val="9"/>
    </font>
    <font>
      <name val="Arial"/>
      <b val="1"/>
      <color rgb="FFFFFFFF"/>
      <sz val="9"/>
    </font>
    <font>
      <name val="Arial"/>
      <sz val="9"/>
    </font>
    <font>
      <name val="Arial"/>
      <color rgb="FFAAAAAA"/>
      <sz val="9"/>
    </font>
    <font>
      <name val="Arial"/>
      <i val="1"/>
      <color rgb="FF555555"/>
      <sz val="8"/>
    </font>
    <font>
      <name val="Arial"/>
      <color rgb="FF333333"/>
      <sz val="9"/>
    </font>
    <font>
      <name val="Arial"/>
      <b val="1"/>
      <color rgb="FF1B5E20"/>
      <sz val="9"/>
    </font>
    <font>
      <name val="Arial"/>
      <i val="1"/>
      <color rgb="FF666666"/>
      <sz val="9"/>
    </font>
    <font>
      <name val="Arial"/>
      <b val="1"/>
      <sz val="9"/>
    </font>
    <font>
      <name val="Arial"/>
      <i val="1"/>
      <sz val="9"/>
    </font>
    <font>
      <name val="Arial"/>
      <color rgb="FF555555"/>
      <sz val="9"/>
    </font>
    <font>
      <name val="Arial"/>
      <b val="1"/>
      <color rgb="FFFFFFFF"/>
      <sz val="14"/>
    </font>
    <font>
      <name val="Arial"/>
      <b val="1"/>
      <color rgb="FFFFFFFF"/>
      <sz val="11"/>
    </font>
    <font>
      <name val="Arial"/>
      <b val="1"/>
      <color rgb="FF333333"/>
      <sz val="10"/>
    </font>
    <font>
      <name val="Arial"/>
      <b val="1"/>
      <color rgb="FF0A3D22"/>
      <sz val="11"/>
    </font>
    <font>
      <name val="Arial"/>
      <color rgb="FF0D3B2E"/>
      <sz val="9"/>
    </font>
    <font>
      <name val="Arial"/>
      <color rgb="FF0D3B6E"/>
      <sz val="9"/>
    </font>
    <font>
      <name val="Arial"/>
      <color rgb="FF6D4C00"/>
      <sz val="9"/>
    </font>
    <font>
      <name val="Arial"/>
      <color rgb="FF4A148C"/>
      <sz val="9"/>
    </font>
    <font>
      <name val="Arial"/>
      <i val="1"/>
      <color rgb="FF0D3B6E"/>
      <sz val="9"/>
    </font>
    <font>
      <name val="Arial"/>
      <b val="1"/>
      <color rgb="FFFFFFFF"/>
      <sz val="12"/>
    </font>
    <font>
      <name val="Arial"/>
      <color rgb="FF7B1FA2"/>
      <sz val="9"/>
    </font>
    <font>
      <name val="Arial"/>
      <b val="1"/>
      <color rgb="FF4A148C"/>
      <sz val="9"/>
    </font>
    <font>
      <name val="Arial"/>
      <b val="1"/>
      <color rgb="FF0D47A1"/>
      <sz val="9"/>
    </font>
    <font>
      <name val="Arial"/>
      <b val="1"/>
      <color rgb="FF880E4F"/>
      <sz val="9"/>
    </font>
    <font>
      <name val="Arial"/>
      <b val="1"/>
      <color rgb="FF6D4C00"/>
      <sz val="9"/>
    </font>
    <font>
      <name val="Arial"/>
      <color rgb="FF222222"/>
      <sz val="9"/>
    </font>
    <font>
      <name val="Arial"/>
      <b val="1"/>
      <color rgb="FF0A3D0A"/>
      <sz val="9"/>
    </font>
    <font>
      <name val="Arial"/>
      <i val="1"/>
      <color rgb="FF9E6B00"/>
      <sz val="9"/>
    </font>
    <font>
      <name val="Arial"/>
      <b val="1"/>
      <color rgb="FFB71C1C"/>
      <sz val="9"/>
    </font>
    <font>
      <name val="Arial"/>
      <color rgb="FF311B92"/>
      <sz val="9"/>
    </font>
    <font>
      <name val="Arial"/>
      <color rgb="FF1B5E20"/>
      <sz val="9"/>
    </font>
    <font>
      <name val="Arial"/>
      <b val="1"/>
      <color rgb="FF311B92"/>
      <sz val="9"/>
    </font>
    <font>
      <name val="Arial"/>
      <color rgb="FF0A3D0A"/>
      <sz val="9"/>
    </font>
  </fonts>
  <fills count="52">
    <fill>
      <patternFill/>
    </fill>
    <fill>
      <patternFill patternType="gray125"/>
    </fill>
    <fill>
      <patternFill patternType="solid">
        <fgColor rgb="FF0D1B2A"/>
      </patternFill>
    </fill>
    <fill>
      <patternFill patternType="solid">
        <fgColor rgb="FF1B4332"/>
      </patternFill>
    </fill>
    <fill>
      <patternFill patternType="solid">
        <fgColor rgb="FF1A2A3A"/>
      </patternFill>
    </fill>
    <fill>
      <patternFill patternType="solid">
        <fgColor rgb="FFFFFFFF"/>
      </patternFill>
    </fill>
    <fill>
      <patternFill patternType="solid">
        <fgColor rgb="FFEEEEEE"/>
      </patternFill>
    </fill>
    <fill>
      <patternFill patternType="solid">
        <fgColor rgb="FFF5F5F5"/>
      </patternFill>
    </fill>
    <fill>
      <patternFill patternType="solid">
        <fgColor rgb="FF3D1A5E"/>
      </patternFill>
    </fill>
    <fill>
      <patternFill patternType="solid">
        <fgColor rgb="FF7B2D00"/>
      </patternFill>
    </fill>
    <fill>
      <patternFill patternType="solid">
        <fgColor rgb="FF1A3A5C"/>
      </patternFill>
    </fill>
    <fill>
      <patternFill patternType="solid">
        <fgColor rgb="FF2E7D32"/>
      </patternFill>
    </fill>
    <fill>
      <patternFill patternType="solid">
        <fgColor rgb="FF0A3D22"/>
      </patternFill>
    </fill>
    <fill>
      <patternFill patternType="solid">
        <fgColor rgb="FF0D5C3A"/>
      </patternFill>
    </fill>
    <fill>
      <patternFill patternType="solid">
        <fgColor rgb="FF2C4A6E"/>
      </patternFill>
    </fill>
    <fill>
      <patternFill patternType="solid">
        <fgColor rgb="FF444444"/>
      </patternFill>
    </fill>
    <fill>
      <patternFill patternType="solid">
        <fgColor rgb="FF3D5A80"/>
      </patternFill>
    </fill>
    <fill>
      <patternFill patternType="solid">
        <fgColor rgb="FFE8F5E9"/>
      </patternFill>
    </fill>
    <fill>
      <patternFill patternType="solid">
        <fgColor rgb="FFF1F8F2"/>
      </patternFill>
    </fill>
    <fill>
      <patternFill patternType="solid">
        <fgColor rgb="FF0D3B2E"/>
      </patternFill>
    </fill>
    <fill>
      <patternFill patternType="solid">
        <fgColor rgb="FFECF5F0"/>
      </patternFill>
    </fill>
    <fill>
      <patternFill patternType="solid">
        <fgColor rgb="FFECFDF5"/>
      </patternFill>
    </fill>
    <fill>
      <patternFill patternType="solid">
        <fgColor rgb="FFDCEEFB"/>
      </patternFill>
    </fill>
    <fill>
      <patternFill patternType="solid">
        <fgColor rgb="FFF1F8F4"/>
      </patternFill>
    </fill>
    <fill>
      <patternFill patternType="solid">
        <fgColor rgb="FFFFF8E1"/>
      </patternFill>
    </fill>
    <fill>
      <patternFill patternType="solid">
        <fgColor rgb="FF1565C0"/>
      </patternFill>
    </fill>
    <fill>
      <patternFill patternType="solid">
        <fgColor rgb="FF37474F"/>
      </patternFill>
    </fill>
    <fill>
      <patternFill patternType="solid">
        <fgColor rgb="FF7B1FA2"/>
      </patternFill>
    </fill>
    <fill>
      <patternFill patternType="solid">
        <fgColor rgb="FFF9FBF9"/>
      </patternFill>
    </fill>
    <fill>
      <patternFill patternType="solid">
        <fgColor rgb="FF0D47A1"/>
      </patternFill>
    </fill>
    <fill>
      <patternFill patternType="solid">
        <fgColor rgb="FFFCE4EC"/>
      </patternFill>
    </fill>
    <fill>
      <patternFill patternType="solid">
        <fgColor rgb="FFE3F2FD"/>
      </patternFill>
    </fill>
    <fill>
      <patternFill patternType="solid">
        <fgColor rgb="FFE8F4FD"/>
      </patternFill>
    </fill>
    <fill>
      <patternFill patternType="solid">
        <fgColor rgb="FFF0F4F8"/>
      </patternFill>
    </fill>
    <fill>
      <patternFill patternType="solid">
        <fgColor rgb="FFF5F8FA"/>
      </patternFill>
    </fill>
    <fill>
      <patternFill patternType="solid">
        <fgColor rgb="FFFFF3E0"/>
      </patternFill>
    </fill>
    <fill>
      <patternFill patternType="solid">
        <fgColor rgb="FFFDF0FF"/>
      </patternFill>
    </fill>
    <fill>
      <patternFill patternType="solid">
        <fgColor rgb="FFFFF9C4"/>
      </patternFill>
    </fill>
    <fill>
      <patternFill patternType="solid">
        <fgColor rgb="FFFFF8E6"/>
      </patternFill>
    </fill>
    <fill>
      <patternFill patternType="solid">
        <fgColor rgb="FFF3E5F5"/>
      </patternFill>
    </fill>
    <fill>
      <patternFill patternType="solid">
        <fgColor rgb="FF5D4037"/>
      </patternFill>
    </fill>
    <fill>
      <patternFill patternType="solid">
        <fgColor rgb="FFFBE9E7"/>
      </patternFill>
    </fill>
    <fill>
      <patternFill patternType="solid">
        <fgColor rgb="FFC8E6C9"/>
      </patternFill>
    </fill>
    <fill>
      <patternFill patternType="solid">
        <fgColor rgb="FF1B5E20"/>
      </patternFill>
    </fill>
    <fill>
      <patternFill patternType="solid">
        <fgColor rgb="FFF1F8F1"/>
      </patternFill>
    </fill>
    <fill>
      <patternFill patternType="solid">
        <fgColor rgb="FF4A148C"/>
      </patternFill>
    </fill>
    <fill>
      <patternFill patternType="solid">
        <fgColor rgb="FF6A1B9A"/>
      </patternFill>
    </fill>
    <fill>
      <patternFill patternType="solid">
        <fgColor rgb="FFEDE7F6"/>
      </patternFill>
    </fill>
    <fill>
      <patternFill patternType="solid">
        <fgColor rgb="FFFFEBEE"/>
      </patternFill>
    </fill>
    <fill>
      <patternFill patternType="solid">
        <fgColor rgb="FFFFE0B2"/>
      </patternFill>
    </fill>
    <fill>
      <patternFill patternType="solid">
        <fgColor rgb="FFB71C1C"/>
      </patternFill>
    </fill>
    <fill>
      <patternFill patternType="solid">
        <fgColor rgb="FFC62828"/>
      </patternFill>
    </fill>
  </fills>
  <borders count="17">
    <border>
      <left/>
      <right/>
      <top/>
      <bottom/>
      <diagonal/>
    </border>
    <border>
      <left style="thin">
        <color rgb="FFCCCCCC"/>
      </left>
      <right style="thin">
        <color rgb="FFCCCCCC"/>
      </right>
      <top style="thin">
        <color rgb="FFCCCCCC"/>
      </top>
      <bottom style="thin">
        <color rgb="FFCCCCCC"/>
      </bottom>
    </border>
    <border>
      <left style="medium">
        <color rgb="FF999999"/>
      </left>
      <right style="medium">
        <color rgb="FF999999"/>
      </right>
      <top style="medium">
        <color rgb="FF999999"/>
      </top>
      <bottom style="medium">
        <color rgb="FF999999"/>
      </bottom>
    </border>
    <border>
      <left/>
      <right/>
      <top style="medium">
        <color rgb="FF999999"/>
      </top>
      <bottom/>
      <diagonal/>
    </border>
    <border>
      <left/>
      <right style="medium">
        <color rgb="FF999999"/>
      </right>
      <top style="medium">
        <color rgb="FF999999"/>
      </top>
      <bottom/>
      <diagonal/>
    </border>
    <border>
      <left/>
      <right/>
      <top style="medium">
        <color rgb="FF999999"/>
      </top>
      <bottom style="medium">
        <color rgb="FF999999"/>
      </bottom>
      <diagonal/>
    </border>
    <border>
      <left/>
      <right style="medium">
        <color rgb="FF999999"/>
      </right>
      <top style="medium">
        <color rgb="FF999999"/>
      </top>
      <bottom style="medium">
        <color rgb="FF999999"/>
      </bottom>
      <diagonal/>
    </border>
    <border>
      <left style="medium">
        <color rgb="FF1B5E20"/>
      </left>
      <right style="medium">
        <color rgb="FF1B5E20"/>
      </right>
      <top style="medium">
        <color rgb="FF1B5E20"/>
      </top>
      <bottom style="medium">
        <color rgb="FF1B5E20"/>
      </bottom>
    </border>
    <border>
      <left style="medium">
        <color rgb="FF333333"/>
      </left>
      <right style="medium">
        <color rgb="FF333333"/>
      </right>
      <top style="medium">
        <color rgb="FF333333"/>
      </top>
      <bottom style="medium">
        <color rgb="FF333333"/>
      </bottom>
    </border>
    <border>
      <left/>
      <right/>
      <top style="medium">
        <color rgb="FF333333"/>
      </top>
      <bottom/>
      <diagonal/>
    </border>
    <border>
      <left/>
      <right style="medium">
        <color rgb="FF333333"/>
      </right>
      <top style="medium">
        <color rgb="FF333333"/>
      </top>
      <bottom/>
      <diagonal/>
    </border>
    <border>
      <left/>
      <right/>
      <top style="medium">
        <color rgb="FF333333"/>
      </top>
      <bottom style="medium">
        <color rgb="FF333333"/>
      </bottom>
      <diagonal/>
    </border>
    <border>
      <left/>
      <right style="medium">
        <color rgb="FF333333"/>
      </right>
      <top style="medium">
        <color rgb="FF333333"/>
      </top>
      <bottom style="medium">
        <color rgb="FF333333"/>
      </bottom>
      <diagonal/>
    </border>
    <border>
      <left/>
      <right/>
      <top style="thin">
        <color rgb="FFCCCCCC"/>
      </top>
      <bottom/>
      <diagonal/>
    </border>
    <border>
      <left/>
      <right style="thin">
        <color rgb="FFCCCCCC"/>
      </right>
      <top style="thin">
        <color rgb="FFCCCCCC"/>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430">
    <xf numFmtId="0" fontId="0" fillId="0" borderId="0" pivotButton="0" quotePrefix="0" xfId="0"/>
    <xf numFmtId="0" fontId="0" fillId="2" borderId="0" pivotButton="0" quotePrefix="0" xfId="0"/>
    <xf numFmtId="0" fontId="1" fillId="2" borderId="0" applyAlignment="1" pivotButton="0" quotePrefix="0" xfId="0">
      <alignment vertical="center"/>
    </xf>
    <xf numFmtId="0" fontId="2" fillId="2" borderId="0" pivotButton="0" quotePrefix="0" xfId="0"/>
    <xf numFmtId="0" fontId="3" fillId="3" borderId="0" pivotButton="0" quotePrefix="0" xfId="0"/>
    <xf numFmtId="0" fontId="4" fillId="4" borderId="0" applyAlignment="1" pivotButton="0" quotePrefix="0" xfId="0">
      <alignment vertical="center" indent="1"/>
    </xf>
    <xf numFmtId="0" fontId="5" fillId="4" borderId="0" applyAlignment="1" pivotButton="0" quotePrefix="0" xfId="0">
      <alignment vertical="center" wrapText="1" indent="1"/>
    </xf>
    <xf numFmtId="0" fontId="6" fillId="4" borderId="0" applyAlignment="1" pivotButton="0" quotePrefix="0" xfId="0">
      <alignment vertical="center" wrapText="1" indent="1"/>
    </xf>
    <xf numFmtId="0" fontId="7" fillId="3" borderId="0" applyAlignment="1" pivotButton="0" quotePrefix="0" xfId="0">
      <alignment horizontal="left" vertical="center" indent="1"/>
    </xf>
    <xf numFmtId="0" fontId="8" fillId="0" borderId="0" pivotButton="0" quotePrefix="0" xfId="0"/>
    <xf numFmtId="0" fontId="9" fillId="3" borderId="1" applyAlignment="1" pivotButton="0" quotePrefix="0" xfId="0">
      <alignment horizontal="center" vertical="center" wrapText="1"/>
    </xf>
    <xf numFmtId="0" fontId="10" fillId="5" borderId="1" applyAlignment="1" pivotButton="0" quotePrefix="0" xfId="0">
      <alignment horizontal="left" vertical="top"/>
    </xf>
    <xf numFmtId="4" fontId="10" fillId="5" borderId="1" applyAlignment="1" pivotButton="0" quotePrefix="0" xfId="0">
      <alignment horizontal="left" vertical="top"/>
    </xf>
    <xf numFmtId="164" fontId="10" fillId="5" borderId="1" applyAlignment="1" pivotButton="0" quotePrefix="0" xfId="0">
      <alignment horizontal="left" vertical="top"/>
    </xf>
    <xf numFmtId="0" fontId="11" fillId="6" borderId="1" applyAlignment="1" pivotButton="0" quotePrefix="0" xfId="0">
      <alignment horizontal="left" vertical="top"/>
    </xf>
    <xf numFmtId="0" fontId="10" fillId="5" borderId="1" applyAlignment="1" pivotButton="0" quotePrefix="0" xfId="0">
      <alignment horizontal="left" vertical="top" wrapText="1"/>
    </xf>
    <xf numFmtId="0" fontId="10" fillId="7" borderId="1" applyAlignment="1" pivotButton="0" quotePrefix="0" xfId="0">
      <alignment horizontal="left" vertical="top"/>
    </xf>
    <xf numFmtId="4" fontId="10" fillId="7" borderId="1" applyAlignment="1" pivotButton="0" quotePrefix="0" xfId="0">
      <alignment horizontal="left" vertical="top"/>
    </xf>
    <xf numFmtId="164" fontId="10" fillId="7" borderId="1" applyAlignment="1" pivotButton="0" quotePrefix="0" xfId="0">
      <alignment horizontal="left" vertical="top"/>
    </xf>
    <xf numFmtId="0" fontId="10" fillId="7" borderId="1" applyAlignment="1" pivotButton="0" quotePrefix="0" xfId="0">
      <alignment horizontal="left" vertical="top" wrapText="1"/>
    </xf>
    <xf numFmtId="0" fontId="11" fillId="6" borderId="1" applyAlignment="1" pivotButton="0" quotePrefix="0" xfId="0">
      <alignment horizontal="left" vertical="top" wrapText="1"/>
    </xf>
    <xf numFmtId="0" fontId="7" fillId="8" borderId="0" applyAlignment="1" pivotButton="0" quotePrefix="0" xfId="0">
      <alignment horizontal="left" vertical="center" indent="1"/>
    </xf>
    <xf numFmtId="0" fontId="9" fillId="8" borderId="1" applyAlignment="1" pivotButton="0" quotePrefix="0" xfId="0">
      <alignment horizontal="center" vertical="center" wrapText="1"/>
    </xf>
    <xf numFmtId="3" fontId="10" fillId="5" borderId="1" applyAlignment="1" pivotButton="0" quotePrefix="0" xfId="0">
      <alignment horizontal="left" vertical="top"/>
    </xf>
    <xf numFmtId="3" fontId="10" fillId="7" borderId="1" applyAlignment="1" pivotButton="0" quotePrefix="0" xfId="0">
      <alignment horizontal="left" vertical="top"/>
    </xf>
    <xf numFmtId="0" fontId="7" fillId="9" borderId="0" applyAlignment="1" pivotButton="0" quotePrefix="0" xfId="0">
      <alignment horizontal="left" vertical="center" indent="1"/>
    </xf>
    <xf numFmtId="0" fontId="9" fillId="9" borderId="1" applyAlignment="1" pivotButton="0" quotePrefix="0" xfId="0">
      <alignment horizontal="center" vertical="center" wrapText="1"/>
    </xf>
    <xf numFmtId="0" fontId="7" fillId="10" borderId="0" applyAlignment="1" pivotButton="0" quotePrefix="0" xfId="0">
      <alignment horizontal="left" vertical="center" indent="1"/>
    </xf>
    <xf numFmtId="0" fontId="9" fillId="10" borderId="1" applyAlignment="1" pivotButton="0" quotePrefix="0" xfId="0">
      <alignment horizontal="center" vertical="center" wrapText="1"/>
    </xf>
    <xf numFmtId="0" fontId="12" fillId="0" borderId="0" applyAlignment="1" pivotButton="0" quotePrefix="0" xfId="0">
      <alignment horizontal="left" vertical="center" wrapText="1" indent="1"/>
    </xf>
    <xf numFmtId="0" fontId="9" fillId="3" borderId="2" applyAlignment="1" pivotButton="0" quotePrefix="0" xfId="0">
      <alignment horizontal="center" vertical="center"/>
    </xf>
    <xf numFmtId="0" fontId="9" fillId="11" borderId="2" applyAlignment="1" pivotButton="0" quotePrefix="0" xfId="0">
      <alignment horizontal="center" vertical="center"/>
    </xf>
    <xf numFmtId="0" fontId="9" fillId="12" borderId="2" applyAlignment="1" pivotButton="0" quotePrefix="0" xfId="0">
      <alignment horizontal="center" vertical="center"/>
    </xf>
    <xf numFmtId="0" fontId="9" fillId="13" borderId="2" applyAlignment="1" pivotButton="0" quotePrefix="0" xfId="0">
      <alignment horizontal="center" vertical="center"/>
    </xf>
    <xf numFmtId="0" fontId="9" fillId="14" borderId="2" applyAlignment="1" pivotButton="0" quotePrefix="0" xfId="0">
      <alignment horizontal="center" vertical="center"/>
    </xf>
    <xf numFmtId="0" fontId="9" fillId="15" borderId="2" applyAlignment="1" pivotButton="0" quotePrefix="0" xfId="0">
      <alignment horizontal="center" vertical="center"/>
    </xf>
    <xf numFmtId="0" fontId="9"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9" fillId="14" borderId="1" applyAlignment="1" pivotButton="0" quotePrefix="0" xfId="0">
      <alignment horizontal="center" vertical="center" wrapText="1"/>
    </xf>
    <xf numFmtId="0" fontId="9" fillId="16" borderId="1" applyAlignment="1" pivotButton="0" quotePrefix="0" xfId="0">
      <alignment horizontal="center" vertical="center" wrapText="1"/>
    </xf>
    <xf numFmtId="0" fontId="10" fillId="7" borderId="1" applyAlignment="1" pivotButton="0" quotePrefix="0" xfId="0">
      <alignment horizontal="left" vertical="top"/>
    </xf>
    <xf numFmtId="0" fontId="10" fillId="7" borderId="1" applyAlignment="1" pivotButton="0" quotePrefix="0" xfId="0">
      <alignment horizontal="right" vertical="top"/>
    </xf>
    <xf numFmtId="164" fontId="10" fillId="7" borderId="1" applyAlignment="1" pivotButton="0" quotePrefix="0" xfId="0">
      <alignment horizontal="right" vertical="top"/>
    </xf>
    <xf numFmtId="0" fontId="11" fillId="6" borderId="1" applyAlignment="1" pivotButton="0" quotePrefix="0" xfId="0">
      <alignment horizontal="right" vertical="top"/>
    </xf>
    <xf numFmtId="0" fontId="10" fillId="5" borderId="1" applyAlignment="1" pivotButton="0" quotePrefix="0" xfId="0">
      <alignment horizontal="left" vertical="top"/>
    </xf>
    <xf numFmtId="0" fontId="10" fillId="5" borderId="1" applyAlignment="1" pivotButton="0" quotePrefix="0" xfId="0">
      <alignment horizontal="right" vertical="top"/>
    </xf>
    <xf numFmtId="164" fontId="10" fillId="5" borderId="1" applyAlignment="1" pivotButton="0" quotePrefix="0" xfId="0">
      <alignment horizontal="right" vertical="top"/>
    </xf>
    <xf numFmtId="0" fontId="13" fillId="17" borderId="1" applyAlignment="1" pivotButton="0" quotePrefix="0" xfId="0">
      <alignment horizontal="left" vertical="top"/>
    </xf>
    <xf numFmtId="0" fontId="13" fillId="17" borderId="1" applyAlignment="1" pivotButton="0" quotePrefix="0" xfId="0">
      <alignment horizontal="right" vertical="top"/>
    </xf>
    <xf numFmtId="164" fontId="14" fillId="17" borderId="1" applyAlignment="1" pivotButton="0" quotePrefix="0" xfId="0">
      <alignment horizontal="right" vertical="top"/>
    </xf>
    <xf numFmtId="0" fontId="15" fillId="17" borderId="1" applyAlignment="1" pivotButton="0" quotePrefix="0" xfId="0">
      <alignment horizontal="right" vertical="top"/>
    </xf>
    <xf numFmtId="164" fontId="13" fillId="17" borderId="1" applyAlignment="1" pivotButton="0" quotePrefix="0" xfId="0">
      <alignment horizontal="right" vertical="top"/>
    </xf>
    <xf numFmtId="0" fontId="13" fillId="17" borderId="1" applyAlignment="1" pivotButton="0" quotePrefix="0" xfId="0">
      <alignment horizontal="left" vertical="top" wrapText="1"/>
    </xf>
    <xf numFmtId="0" fontId="13" fillId="18" borderId="1" applyAlignment="1" pivotButton="0" quotePrefix="0" xfId="0">
      <alignment horizontal="left" vertical="top"/>
    </xf>
    <xf numFmtId="0" fontId="13" fillId="18" borderId="1" applyAlignment="1" pivotButton="0" quotePrefix="0" xfId="0">
      <alignment horizontal="right" vertical="top"/>
    </xf>
    <xf numFmtId="164" fontId="14" fillId="18" borderId="1" applyAlignment="1" pivotButton="0" quotePrefix="0" xfId="0">
      <alignment horizontal="right" vertical="top"/>
    </xf>
    <xf numFmtId="0" fontId="15" fillId="18" borderId="1" applyAlignment="1" pivotButton="0" quotePrefix="0" xfId="0">
      <alignment horizontal="right" vertical="top"/>
    </xf>
    <xf numFmtId="0" fontId="13" fillId="18" borderId="1" applyAlignment="1" pivotButton="0" quotePrefix="0" xfId="0">
      <alignment horizontal="left" vertical="top" wrapText="1"/>
    </xf>
    <xf numFmtId="164" fontId="13" fillId="18" borderId="1" applyAlignment="1" pivotButton="0" quotePrefix="0" xfId="0">
      <alignment horizontal="right" vertical="top"/>
    </xf>
    <xf numFmtId="0" fontId="14" fillId="18" borderId="1" applyAlignment="1" pivotButton="0" quotePrefix="0" xfId="0">
      <alignment horizontal="right" vertical="top"/>
    </xf>
    <xf numFmtId="0" fontId="16" fillId="0" borderId="0" pivotButton="0" quotePrefix="0" xfId="0"/>
    <xf numFmtId="0" fontId="17" fillId="0" borderId="0" pivotButton="0" quotePrefix="0" xfId="0"/>
    <xf numFmtId="0" fontId="18" fillId="0" borderId="0" pivotButton="0" quotePrefix="0" xfId="0"/>
    <xf numFmtId="0" fontId="19" fillId="19" borderId="0" applyAlignment="1" pivotButton="0" quotePrefix="0" xfId="0">
      <alignment horizontal="left" vertical="center" indent="1"/>
    </xf>
    <xf numFmtId="0" fontId="8" fillId="20" borderId="0" applyAlignment="1" pivotButton="0" quotePrefix="0" xfId="0">
      <alignment horizontal="left" vertical="center" wrapText="1" indent="1"/>
    </xf>
    <xf numFmtId="0" fontId="20" fillId="19" borderId="0" applyAlignment="1" pivotButton="0" quotePrefix="0" xfId="0">
      <alignment horizontal="left" vertical="center" indent="1"/>
    </xf>
    <xf numFmtId="0" fontId="13" fillId="21" borderId="0" applyAlignment="1" pivotButton="0" quotePrefix="0" xfId="0">
      <alignment horizontal="left" vertical="top" wrapText="1" indent="1"/>
    </xf>
    <xf numFmtId="0" fontId="21" fillId="17" borderId="0" applyAlignment="1" pivotButton="0" quotePrefix="0" xfId="0">
      <alignment horizontal="left" vertical="top" wrapText="1" indent="1"/>
    </xf>
    <xf numFmtId="0" fontId="22" fillId="22" borderId="0" applyAlignment="1" pivotButton="0" quotePrefix="0" xfId="0">
      <alignment horizontal="left" vertical="top" wrapText="1" indent="1"/>
    </xf>
    <xf numFmtId="0" fontId="10" fillId="7" borderId="1" applyAlignment="1" pivotButton="0" quotePrefix="0" xfId="0">
      <alignment horizontal="left" vertical="center"/>
    </xf>
    <xf numFmtId="0" fontId="10" fillId="5" borderId="1" applyAlignment="1" pivotButton="0" quotePrefix="0" xfId="0">
      <alignment horizontal="left" vertical="center"/>
    </xf>
    <xf numFmtId="0" fontId="13" fillId="17" borderId="1" applyAlignment="1" pivotButton="0" quotePrefix="0" xfId="0">
      <alignment horizontal="left" vertical="center" wrapText="1"/>
    </xf>
    <xf numFmtId="0" fontId="14" fillId="17" borderId="1" applyAlignment="1" pivotButton="0" quotePrefix="0" xfId="0">
      <alignment horizontal="left" vertical="center" wrapText="1"/>
    </xf>
    <xf numFmtId="0" fontId="13" fillId="23" borderId="1" applyAlignment="1" pivotButton="0" quotePrefix="0" xfId="0">
      <alignment horizontal="left" vertical="center" wrapText="1"/>
    </xf>
    <xf numFmtId="0" fontId="14" fillId="23" borderId="1" applyAlignment="1" pivotButton="0" quotePrefix="0" xfId="0">
      <alignment horizontal="left" vertical="center" wrapText="1"/>
    </xf>
    <xf numFmtId="0" fontId="10" fillId="7" borderId="1" applyAlignment="1" pivotButton="0" quotePrefix="0" xfId="0">
      <alignment horizontal="right" vertical="center"/>
    </xf>
    <xf numFmtId="0" fontId="10" fillId="5" borderId="1" applyAlignment="1" pivotButton="0" quotePrefix="0" xfId="0">
      <alignment horizontal="right" vertical="center"/>
    </xf>
    <xf numFmtId="0" fontId="23" fillId="22" borderId="0" applyAlignment="1" pivotButton="0" quotePrefix="0" xfId="0">
      <alignment horizontal="left" vertical="top" wrapText="1" indent="1"/>
    </xf>
    <xf numFmtId="164" fontId="10" fillId="7" borderId="1" applyAlignment="1" pivotButton="0" quotePrefix="0" xfId="0">
      <alignment horizontal="right" vertical="center"/>
    </xf>
    <xf numFmtId="164" fontId="10" fillId="5" borderId="1" applyAlignment="1" pivotButton="0" quotePrefix="0" xfId="0">
      <alignment horizontal="right" vertical="center"/>
    </xf>
    <xf numFmtId="0" fontId="13" fillId="22" borderId="0" applyAlignment="1" pivotButton="0" quotePrefix="0" xfId="0">
      <alignment horizontal="left" vertical="top" wrapText="1" indent="1"/>
    </xf>
    <xf numFmtId="0" fontId="13" fillId="24" borderId="0" applyAlignment="1" pivotButton="0" quotePrefix="0" xfId="0">
      <alignment horizontal="left" vertical="top" wrapText="1" indent="1"/>
    </xf>
    <xf numFmtId="0" fontId="0" fillId="0" borderId="5" pivotButton="0" quotePrefix="0" xfId="0"/>
    <xf numFmtId="0" fontId="0" fillId="0" borderId="6" pivotButton="0" quotePrefix="0" xfId="0"/>
    <xf numFmtId="0" fontId="7" fillId="12" borderId="0" applyAlignment="1" pivotButton="0" quotePrefix="0" xfId="0">
      <alignment horizontal="left" vertical="center" indent="1"/>
    </xf>
    <xf numFmtId="0" fontId="20" fillId="12" borderId="0" applyAlignment="1" pivotButton="0" quotePrefix="0" xfId="0">
      <alignment horizontal="left" vertical="center" indent="1"/>
    </xf>
    <xf numFmtId="0" fontId="9" fillId="25" borderId="1" applyAlignment="1" pivotButton="0" quotePrefix="0" xfId="0">
      <alignment horizontal="center" vertical="center" wrapText="1"/>
    </xf>
    <xf numFmtId="0" fontId="9" fillId="26" borderId="1" applyAlignment="1" pivotButton="0" quotePrefix="0" xfId="0">
      <alignment horizontal="center" vertical="center" wrapText="1"/>
    </xf>
    <xf numFmtId="0" fontId="9" fillId="27" borderId="1" applyAlignment="1" pivotButton="0" quotePrefix="0" xfId="0">
      <alignment horizontal="center" vertical="center" wrapText="1"/>
    </xf>
    <xf numFmtId="0" fontId="13" fillId="28" borderId="1" applyAlignment="1" pivotButton="0" quotePrefix="0" xfId="0">
      <alignment horizontal="left" vertical="center"/>
    </xf>
    <xf numFmtId="164" fontId="14" fillId="28" borderId="1" applyAlignment="1" pivotButton="0" quotePrefix="0" xfId="0">
      <alignment horizontal="right" vertical="center"/>
    </xf>
    <xf numFmtId="164" fontId="13" fillId="28" borderId="1" applyAlignment="1" pivotButton="0" quotePrefix="0" xfId="0">
      <alignment horizontal="right" vertical="center"/>
    </xf>
    <xf numFmtId="0" fontId="13" fillId="28" borderId="1" applyAlignment="1" pivotButton="0" quotePrefix="0" xfId="0">
      <alignment horizontal="right" vertical="center"/>
    </xf>
    <xf numFmtId="0" fontId="13" fillId="5" borderId="1" applyAlignment="1" pivotButton="0" quotePrefix="0" xfId="0">
      <alignment horizontal="left" vertical="center"/>
    </xf>
    <xf numFmtId="165" fontId="14" fillId="5" borderId="1" applyAlignment="1" pivotButton="0" quotePrefix="0" xfId="0">
      <alignment horizontal="right" vertical="center"/>
    </xf>
    <xf numFmtId="165" fontId="13" fillId="5" borderId="1" applyAlignment="1" pivotButton="0" quotePrefix="0" xfId="0">
      <alignment horizontal="right" vertical="center"/>
    </xf>
    <xf numFmtId="0" fontId="13" fillId="5" borderId="1" applyAlignment="1" pivotButton="0" quotePrefix="0" xfId="0">
      <alignment horizontal="right" vertical="center"/>
    </xf>
    <xf numFmtId="165" fontId="14" fillId="28" borderId="1" applyAlignment="1" pivotButton="0" quotePrefix="0" xfId="0">
      <alignment horizontal="right" vertical="center"/>
    </xf>
    <xf numFmtId="165" fontId="13" fillId="28" borderId="1" applyAlignment="1" pivotButton="0" quotePrefix="0" xfId="0">
      <alignment horizontal="right" vertical="center"/>
    </xf>
    <xf numFmtId="0" fontId="14" fillId="24" borderId="1" applyAlignment="1" pivotButton="0" quotePrefix="0" xfId="0">
      <alignment horizontal="left" vertical="center"/>
    </xf>
    <xf numFmtId="164" fontId="14" fillId="24" borderId="1" applyAlignment="1" pivotButton="0" quotePrefix="0" xfId="0">
      <alignment horizontal="right" vertical="center"/>
    </xf>
    <xf numFmtId="0" fontId="13" fillId="24" borderId="1" applyAlignment="1" pivotButton="0" quotePrefix="0" xfId="0">
      <alignment horizontal="left" vertical="center"/>
    </xf>
    <xf numFmtId="164" fontId="13" fillId="24" borderId="1" applyAlignment="1" pivotButton="0" quotePrefix="0" xfId="0">
      <alignment horizontal="right" vertical="center"/>
    </xf>
    <xf numFmtId="0" fontId="13" fillId="24" borderId="1" applyAlignment="1" pivotButton="0" quotePrefix="0" xfId="0">
      <alignment horizontal="right" vertical="center"/>
    </xf>
    <xf numFmtId="0" fontId="20" fillId="25" borderId="0" applyAlignment="1" pivotButton="0" quotePrefix="0" xfId="0">
      <alignment horizontal="left" vertical="center" indent="1"/>
    </xf>
    <xf numFmtId="0" fontId="9" fillId="29" borderId="1" applyAlignment="1" pivotButton="0" quotePrefix="0" xfId="0">
      <alignment horizontal="center" vertical="center" wrapText="1"/>
    </xf>
    <xf numFmtId="0" fontId="20" fillId="26" borderId="0" applyAlignment="1" pivotButton="0" quotePrefix="0" xfId="0">
      <alignment horizontal="left" vertical="center" indent="1"/>
    </xf>
    <xf numFmtId="165" fontId="13" fillId="24" borderId="1" applyAlignment="1" pivotButton="0" quotePrefix="0" xfId="0">
      <alignment horizontal="right" vertical="center"/>
    </xf>
    <xf numFmtId="0" fontId="11" fillId="24" borderId="1" applyAlignment="1" pivotButton="0" quotePrefix="0" xfId="0">
      <alignment horizontal="center" vertical="center"/>
    </xf>
    <xf numFmtId="164" fontId="13" fillId="5" borderId="1" applyAlignment="1" pivotButton="0" quotePrefix="0" xfId="0">
      <alignment horizontal="right" vertical="center"/>
    </xf>
    <xf numFmtId="0" fontId="11" fillId="5" borderId="1" applyAlignment="1" pivotButton="0" quotePrefix="0" xfId="0">
      <alignment horizontal="center" vertical="center"/>
    </xf>
    <xf numFmtId="0" fontId="11" fillId="28" borderId="1" applyAlignment="1" pivotButton="0" quotePrefix="0" xfId="0">
      <alignment horizontal="center" vertical="center"/>
    </xf>
    <xf numFmtId="0" fontId="20" fillId="3" borderId="0" applyAlignment="1" pivotButton="0" quotePrefix="0" xfId="0">
      <alignment horizontal="left" vertical="center" indent="1"/>
    </xf>
    <xf numFmtId="0" fontId="16" fillId="30" borderId="1" applyAlignment="1" pivotButton="0" quotePrefix="0" xfId="0">
      <alignment horizontal="left" vertical="center"/>
    </xf>
    <xf numFmtId="0" fontId="10" fillId="30" borderId="1" applyAlignment="1" pivotButton="0" quotePrefix="0" xfId="0">
      <alignment horizontal="left" vertical="center"/>
    </xf>
    <xf numFmtId="0" fontId="10" fillId="30" borderId="1" applyAlignment="1" pivotButton="0" quotePrefix="0" xfId="0">
      <alignment horizontal="right" vertical="center"/>
    </xf>
    <xf numFmtId="0" fontId="11" fillId="30" borderId="1" applyAlignment="1" pivotButton="0" quotePrefix="0" xfId="0">
      <alignment horizontal="center" vertical="center"/>
    </xf>
    <xf numFmtId="164" fontId="16" fillId="30" borderId="1" applyAlignment="1" pivotButton="0" quotePrefix="0" xfId="0">
      <alignment horizontal="right" vertical="center"/>
    </xf>
    <xf numFmtId="0" fontId="10" fillId="31" borderId="1" applyAlignment="1" pivotButton="0" quotePrefix="0" xfId="0">
      <alignment horizontal="left" vertical="center"/>
    </xf>
    <xf numFmtId="0" fontId="10" fillId="31" borderId="1" applyAlignment="1" pivotButton="0" quotePrefix="0" xfId="0">
      <alignment horizontal="right" vertical="center"/>
    </xf>
    <xf numFmtId="164" fontId="10" fillId="31" borderId="1" applyAlignment="1" pivotButton="0" quotePrefix="0" xfId="0">
      <alignment horizontal="right" vertical="center"/>
    </xf>
    <xf numFmtId="0" fontId="11" fillId="31" borderId="1" applyAlignment="1" pivotButton="0" quotePrefix="0" xfId="0">
      <alignment horizontal="center" vertical="center"/>
    </xf>
    <xf numFmtId="0" fontId="10" fillId="17" borderId="1" applyAlignment="1" pivotButton="0" quotePrefix="0" xfId="0">
      <alignment horizontal="left" vertical="center"/>
    </xf>
    <xf numFmtId="0" fontId="10" fillId="17" borderId="1" applyAlignment="1" pivotButton="0" quotePrefix="0" xfId="0">
      <alignment horizontal="right" vertical="center"/>
    </xf>
    <xf numFmtId="164" fontId="10" fillId="17" borderId="1" applyAlignment="1" pivotButton="0" quotePrefix="0" xfId="0">
      <alignment horizontal="right" vertical="center"/>
    </xf>
    <xf numFmtId="0" fontId="20" fillId="2" borderId="0" applyAlignment="1" pivotButton="0" quotePrefix="0" xfId="0">
      <alignment horizontal="left" vertical="center" indent="1"/>
    </xf>
    <xf numFmtId="0" fontId="24" fillId="32" borderId="0" applyAlignment="1" pivotButton="0" quotePrefix="0" xfId="0">
      <alignment horizontal="left" vertical="top" wrapText="1" indent="2"/>
    </xf>
    <xf numFmtId="0" fontId="20" fillId="10" borderId="0" applyAlignment="1" pivotButton="0" quotePrefix="0" xfId="0">
      <alignment horizontal="left" vertical="center" indent="1"/>
    </xf>
    <xf numFmtId="0" fontId="13" fillId="33" borderId="0" applyAlignment="1" pivotButton="0" quotePrefix="0" xfId="0">
      <alignment horizontal="left" vertical="top" wrapText="1" indent="2"/>
    </xf>
    <xf numFmtId="0" fontId="3" fillId="14" borderId="0" applyAlignment="1" pivotButton="0" quotePrefix="0" xfId="0">
      <alignment horizontal="left" vertical="center" indent="2"/>
    </xf>
    <xf numFmtId="0" fontId="13" fillId="34" borderId="0" applyAlignment="1" pivotButton="0" quotePrefix="0" xfId="0">
      <alignment horizontal="left" vertical="top" wrapText="1" indent="2"/>
    </xf>
    <xf numFmtId="0" fontId="25" fillId="24" borderId="0" applyAlignment="1" pivotButton="0" quotePrefix="0" xfId="0">
      <alignment horizontal="left" vertical="top" wrapText="1" indent="2"/>
    </xf>
    <xf numFmtId="0" fontId="10" fillId="17" borderId="1" applyAlignment="1" pivotButton="0" quotePrefix="0" xfId="0">
      <alignment horizontal="left" vertical="top" wrapText="1"/>
    </xf>
    <xf numFmtId="165" fontId="10" fillId="17" borderId="1" applyAlignment="1" pivotButton="0" quotePrefix="0" xfId="0">
      <alignment horizontal="right" vertical="top"/>
    </xf>
    <xf numFmtId="0" fontId="10" fillId="35" borderId="1" applyAlignment="1" pivotButton="0" quotePrefix="0" xfId="0">
      <alignment horizontal="left" vertical="top" wrapText="1"/>
    </xf>
    <xf numFmtId="165" fontId="10" fillId="35" borderId="1" applyAlignment="1" pivotButton="0" quotePrefix="0" xfId="0">
      <alignment horizontal="right" vertical="top"/>
    </xf>
    <xf numFmtId="0" fontId="10" fillId="6" borderId="1" applyAlignment="1" pivotButton="0" quotePrefix="0" xfId="0">
      <alignment horizontal="left" vertical="top" wrapText="1"/>
    </xf>
    <xf numFmtId="165" fontId="10" fillId="6" borderId="1" applyAlignment="1" pivotButton="0" quotePrefix="0" xfId="0">
      <alignment horizontal="right" vertical="top"/>
    </xf>
    <xf numFmtId="0" fontId="10" fillId="17" borderId="1" applyAlignment="1" pivotButton="0" quotePrefix="0" xfId="0">
      <alignment horizontal="right" vertical="top"/>
    </xf>
    <xf numFmtId="0" fontId="10" fillId="31" borderId="1" applyAlignment="1" pivotButton="0" quotePrefix="0" xfId="0">
      <alignment horizontal="left" vertical="top" wrapText="1"/>
    </xf>
    <xf numFmtId="0" fontId="10" fillId="31" borderId="1" applyAlignment="1" pivotButton="0" quotePrefix="0" xfId="0">
      <alignment horizontal="right" vertical="top"/>
    </xf>
    <xf numFmtId="0" fontId="10" fillId="35" borderId="1" applyAlignment="1" pivotButton="0" quotePrefix="0" xfId="0">
      <alignment horizontal="right" vertical="top"/>
    </xf>
    <xf numFmtId="0" fontId="10" fillId="6" borderId="1" applyAlignment="1" pivotButton="0" quotePrefix="0" xfId="0">
      <alignment horizontal="right" vertical="top"/>
    </xf>
    <xf numFmtId="0" fontId="25" fillId="35" borderId="0" applyAlignment="1" pivotButton="0" quotePrefix="0" xfId="0">
      <alignment horizontal="left" vertical="top" wrapText="1" indent="2"/>
    </xf>
    <xf numFmtId="0" fontId="20" fillId="27" borderId="0" applyAlignment="1" pivotButton="0" quotePrefix="0" xfId="0">
      <alignment horizontal="left" vertical="center" indent="1"/>
    </xf>
    <xf numFmtId="0" fontId="26" fillId="36" borderId="0" applyAlignment="1" pivotButton="0" quotePrefix="0" xfId="0">
      <alignment horizontal="left" vertical="top" wrapText="1" indent="2"/>
    </xf>
    <xf numFmtId="0" fontId="9" fillId="2" borderId="1" applyAlignment="1" pivotButton="0" quotePrefix="0" xfId="0">
      <alignment horizontal="center" vertical="center" wrapText="1"/>
    </xf>
    <xf numFmtId="0" fontId="27" fillId="32" borderId="0" applyAlignment="1" pivotButton="0" quotePrefix="0" xfId="0">
      <alignment horizontal="left" vertical="top" wrapText="1" indent="2"/>
    </xf>
    <xf numFmtId="0" fontId="28" fillId="2" borderId="0" applyAlignment="1" pivotButton="0" quotePrefix="0" xfId="0">
      <alignment horizontal="left" vertical="center" indent="1"/>
    </xf>
    <xf numFmtId="0" fontId="16" fillId="7" borderId="1" applyAlignment="1" pivotButton="0" quotePrefix="0" xfId="0">
      <alignment horizontal="left" vertical="top" wrapText="1" indent="1"/>
    </xf>
    <xf numFmtId="0" fontId="13" fillId="7" borderId="1" applyAlignment="1" pivotButton="0" quotePrefix="0" xfId="0">
      <alignment horizontal="left" vertical="top" wrapText="1" indent="1"/>
    </xf>
    <xf numFmtId="0" fontId="29" fillId="7" borderId="1" applyAlignment="1" pivotButton="0" quotePrefix="0" xfId="0">
      <alignment horizontal="left" vertical="top" wrapText="1" indent="1"/>
    </xf>
    <xf numFmtId="0" fontId="16" fillId="5" borderId="1" applyAlignment="1" pivotButton="0" quotePrefix="0" xfId="0">
      <alignment horizontal="left" vertical="top" wrapText="1" indent="1"/>
    </xf>
    <xf numFmtId="0" fontId="13" fillId="5" borderId="1" applyAlignment="1" pivotButton="0" quotePrefix="0" xfId="0">
      <alignment horizontal="left" vertical="top" wrapText="1" indent="1"/>
    </xf>
    <xf numFmtId="0" fontId="29" fillId="5" borderId="1" applyAlignment="1" pivotButton="0" quotePrefix="0" xfId="0">
      <alignment horizontal="left" vertical="top" wrapText="1" indent="1"/>
    </xf>
    <xf numFmtId="0" fontId="3" fillId="2" borderId="0" applyAlignment="1" pivotButton="0" quotePrefix="0" xfId="0">
      <alignment horizontal="left" vertical="center" indent="1"/>
    </xf>
    <xf numFmtId="0" fontId="24" fillId="32" borderId="0" applyAlignment="1" pivotButton="0" quotePrefix="0" xfId="0">
      <alignment horizontal="left" vertical="top" wrapText="1" indent="1"/>
    </xf>
    <xf numFmtId="0" fontId="7" fillId="2" borderId="0" applyAlignment="1" pivotButton="0" quotePrefix="0" xfId="0">
      <alignment horizontal="left" vertical="center" indent="1"/>
    </xf>
    <xf numFmtId="0" fontId="3" fillId="10" borderId="0" applyAlignment="1" pivotButton="0" quotePrefix="0" xfId="0">
      <alignment horizontal="left" vertical="center" indent="1"/>
    </xf>
    <xf numFmtId="0" fontId="13" fillId="33" borderId="0" applyAlignment="1" pivotButton="0" quotePrefix="0" xfId="0">
      <alignment horizontal="left" vertical="top" wrapText="1" indent="1"/>
    </xf>
    <xf numFmtId="0" fontId="10" fillId="7" borderId="1" applyAlignment="1" pivotButton="0" quotePrefix="0" xfId="0">
      <alignment horizontal="left" vertical="center"/>
    </xf>
    <xf numFmtId="166" fontId="10" fillId="7" borderId="1" applyAlignment="1" pivotButton="0" quotePrefix="0" xfId="0">
      <alignment horizontal="right" vertical="center"/>
    </xf>
    <xf numFmtId="0" fontId="10" fillId="5" borderId="1" applyAlignment="1" pivotButton="0" quotePrefix="0" xfId="0">
      <alignment horizontal="left" vertical="center"/>
    </xf>
    <xf numFmtId="166" fontId="10" fillId="5" borderId="1" applyAlignment="1" pivotButton="0" quotePrefix="0" xfId="0">
      <alignment horizontal="right" vertical="center"/>
    </xf>
    <xf numFmtId="0" fontId="25" fillId="35" borderId="0" applyAlignment="1" pivotButton="0" quotePrefix="0" xfId="0">
      <alignment horizontal="left" vertical="top" wrapText="1" indent="1"/>
    </xf>
    <xf numFmtId="0" fontId="10" fillId="7" borderId="1" applyAlignment="1" pivotButton="0" quotePrefix="0" xfId="0">
      <alignment horizontal="right" vertical="center"/>
    </xf>
    <xf numFmtId="164" fontId="10" fillId="7" borderId="1" applyAlignment="1" pivotButton="0" quotePrefix="0" xfId="0">
      <alignment horizontal="right" vertical="center"/>
    </xf>
    <xf numFmtId="0" fontId="10" fillId="5" borderId="1" applyAlignment="1" pivotButton="0" quotePrefix="0" xfId="0">
      <alignment horizontal="right" vertical="center"/>
    </xf>
    <xf numFmtId="164" fontId="10" fillId="5" borderId="1" applyAlignment="1" pivotButton="0" quotePrefix="0" xfId="0">
      <alignment horizontal="right" vertical="center"/>
    </xf>
    <xf numFmtId="0" fontId="10" fillId="17" borderId="1" applyAlignment="1" pivotButton="0" quotePrefix="0" xfId="0">
      <alignment horizontal="left" vertical="center"/>
    </xf>
    <xf numFmtId="0" fontId="10" fillId="17" borderId="1" applyAlignment="1" pivotButton="0" quotePrefix="0" xfId="0">
      <alignment horizontal="left" vertical="center" wrapText="1"/>
    </xf>
    <xf numFmtId="166" fontId="10" fillId="17" borderId="1" applyAlignment="1" pivotButton="0" quotePrefix="0" xfId="0">
      <alignment horizontal="right" vertical="center"/>
    </xf>
    <xf numFmtId="0" fontId="10" fillId="5" borderId="1" applyAlignment="1" pivotButton="0" quotePrefix="0" xfId="0">
      <alignment horizontal="left" vertical="center" wrapText="1"/>
    </xf>
    <xf numFmtId="0" fontId="10" fillId="22" borderId="1" applyAlignment="1" pivotButton="0" quotePrefix="0" xfId="0">
      <alignment horizontal="left" vertical="center"/>
    </xf>
    <xf numFmtId="0" fontId="10" fillId="22" borderId="1" applyAlignment="1" pivotButton="0" quotePrefix="0" xfId="0">
      <alignment horizontal="left" vertical="center" wrapText="1"/>
    </xf>
    <xf numFmtId="166" fontId="10" fillId="22" borderId="1" applyAlignment="1" pivotButton="0" quotePrefix="0" xfId="0">
      <alignment horizontal="right" vertical="center"/>
    </xf>
    <xf numFmtId="0" fontId="10" fillId="7" borderId="1" applyAlignment="1" pivotButton="0" quotePrefix="0" xfId="0">
      <alignment horizontal="left" vertical="center" wrapText="1"/>
    </xf>
    <xf numFmtId="3" fontId="14" fillId="17" borderId="1" applyAlignment="1" pivotButton="0" quotePrefix="0" xfId="0">
      <alignment horizontal="right" vertical="center"/>
    </xf>
    <xf numFmtId="164" fontId="14" fillId="17" borderId="1" applyAlignment="1" pivotButton="0" quotePrefix="0" xfId="0">
      <alignment horizontal="right" vertical="center"/>
    </xf>
    <xf numFmtId="0" fontId="10" fillId="7" borderId="1" applyAlignment="1" pivotButton="0" quotePrefix="0" xfId="0">
      <alignment horizontal="left" vertical="top"/>
    </xf>
    <xf numFmtId="0" fontId="10" fillId="5" borderId="1" applyAlignment="1" pivotButton="0" quotePrefix="0" xfId="0">
      <alignment horizontal="left" vertical="top"/>
    </xf>
    <xf numFmtId="0" fontId="10" fillId="7" borderId="1" applyAlignment="1" pivotButton="0" quotePrefix="0" xfId="0">
      <alignment horizontal="right" vertical="top"/>
    </xf>
    <xf numFmtId="0" fontId="10" fillId="5" borderId="1" applyAlignment="1" pivotButton="0" quotePrefix="0" xfId="0">
      <alignment horizontal="right" vertical="top"/>
    </xf>
    <xf numFmtId="0" fontId="10" fillId="17" borderId="1" applyAlignment="1" pivotButton="0" quotePrefix="0" xfId="0">
      <alignment horizontal="left" vertical="top"/>
    </xf>
    <xf numFmtId="0" fontId="10" fillId="17" borderId="1" applyAlignment="1" pivotButton="0" quotePrefix="0" xfId="0">
      <alignment horizontal="right" vertical="top"/>
    </xf>
    <xf numFmtId="0" fontId="10" fillId="37" borderId="1" applyAlignment="1" pivotButton="0" quotePrefix="0" xfId="0">
      <alignment horizontal="left" vertical="top"/>
    </xf>
    <xf numFmtId="0" fontId="10" fillId="37" borderId="1" applyAlignment="1" pivotButton="0" quotePrefix="0" xfId="0">
      <alignment horizontal="right" vertical="top"/>
    </xf>
    <xf numFmtId="164" fontId="10" fillId="17" borderId="1" applyAlignment="1" pivotButton="0" quotePrefix="0" xfId="0">
      <alignment horizontal="right" vertical="top"/>
    </xf>
    <xf numFmtId="164" fontId="10" fillId="5" borderId="1" applyAlignment="1" pivotButton="0" quotePrefix="0" xfId="0">
      <alignment horizontal="right" vertical="top"/>
    </xf>
    <xf numFmtId="164" fontId="10" fillId="7" borderId="1" applyAlignment="1" pivotButton="0" quotePrefix="0" xfId="0">
      <alignment horizontal="right" vertical="top"/>
    </xf>
    <xf numFmtId="164" fontId="14" fillId="17" borderId="1" applyAlignment="1" pivotButton="0" quotePrefix="0" xfId="0">
      <alignment horizontal="right" vertical="top"/>
    </xf>
    <xf numFmtId="4" fontId="14" fillId="17" borderId="1" applyAlignment="1" pivotButton="0" quotePrefix="0" xfId="0">
      <alignment horizontal="right" vertical="top"/>
    </xf>
    <xf numFmtId="0" fontId="14" fillId="17" borderId="1" applyAlignment="1" pivotButton="0" quotePrefix="0" xfId="0">
      <alignment horizontal="left" vertical="top" wrapText="1"/>
    </xf>
    <xf numFmtId="0" fontId="10" fillId="7" borderId="1" applyAlignment="1" pivotButton="0" quotePrefix="0" xfId="0">
      <alignment horizontal="left" vertical="top"/>
    </xf>
    <xf numFmtId="164" fontId="10" fillId="7" borderId="1" applyAlignment="1" pivotButton="0" quotePrefix="0" xfId="0">
      <alignment horizontal="right" vertical="top"/>
    </xf>
    <xf numFmtId="0" fontId="10" fillId="7" borderId="1" applyAlignment="1" pivotButton="0" quotePrefix="0" xfId="0">
      <alignment horizontal="right" vertical="top"/>
    </xf>
    <xf numFmtId="0" fontId="10" fillId="5" borderId="1" applyAlignment="1" pivotButton="0" quotePrefix="0" xfId="0">
      <alignment horizontal="left" vertical="top"/>
    </xf>
    <xf numFmtId="164" fontId="10" fillId="5" borderId="1" applyAlignment="1" pivotButton="0" quotePrefix="0" xfId="0">
      <alignment horizontal="right" vertical="top"/>
    </xf>
    <xf numFmtId="0" fontId="10" fillId="5" borderId="1" applyAlignment="1" pivotButton="0" quotePrefix="0" xfId="0">
      <alignment horizontal="right" vertical="top"/>
    </xf>
    <xf numFmtId="0" fontId="10" fillId="32" borderId="1" applyAlignment="1" pivotButton="0" quotePrefix="0" xfId="0">
      <alignment horizontal="left" vertical="top"/>
    </xf>
    <xf numFmtId="0" fontId="10" fillId="32" borderId="1" applyAlignment="1" pivotButton="0" quotePrefix="0" xfId="0">
      <alignment horizontal="right" vertical="top"/>
    </xf>
    <xf numFmtId="166" fontId="10" fillId="32" borderId="1" applyAlignment="1" pivotButton="0" quotePrefix="0" xfId="0">
      <alignment horizontal="right" vertical="top"/>
    </xf>
    <xf numFmtId="0" fontId="10" fillId="32" borderId="1" applyAlignment="1" pivotButton="0" quotePrefix="0" xfId="0">
      <alignment horizontal="left" vertical="top" wrapText="1"/>
    </xf>
    <xf numFmtId="0" fontId="10" fillId="38" borderId="1" applyAlignment="1" pivotButton="0" quotePrefix="0" xfId="0">
      <alignment horizontal="left" vertical="top"/>
    </xf>
    <xf numFmtId="0" fontId="10" fillId="38" borderId="1" applyAlignment="1" pivotButton="0" quotePrefix="0" xfId="0">
      <alignment horizontal="right" vertical="top"/>
    </xf>
    <xf numFmtId="166" fontId="10" fillId="38" borderId="1" applyAlignment="1" pivotButton="0" quotePrefix="0" xfId="0">
      <alignment horizontal="right" vertical="top"/>
    </xf>
    <xf numFmtId="0" fontId="10" fillId="38" borderId="1" applyAlignment="1" pivotButton="0" quotePrefix="0" xfId="0">
      <alignment horizontal="left" vertical="top" wrapText="1"/>
    </xf>
    <xf numFmtId="166" fontId="10" fillId="5" borderId="1" applyAlignment="1" pivotButton="0" quotePrefix="0" xfId="0">
      <alignment horizontal="right" vertical="top"/>
    </xf>
    <xf numFmtId="166" fontId="10" fillId="7" borderId="1" applyAlignment="1" pivotButton="0" quotePrefix="0" xfId="0">
      <alignment horizontal="right" vertical="top"/>
    </xf>
    <xf numFmtId="0" fontId="10" fillId="17" borderId="1" applyAlignment="1" pivotButton="0" quotePrefix="0" xfId="0">
      <alignment horizontal="left" vertical="top"/>
    </xf>
    <xf numFmtId="0" fontId="10" fillId="17" borderId="1" applyAlignment="1" pivotButton="0" quotePrefix="0" xfId="0">
      <alignment horizontal="right" vertical="top"/>
    </xf>
    <xf numFmtId="166" fontId="10" fillId="17" borderId="1" applyAlignment="1" pivotButton="0" quotePrefix="0" xfId="0">
      <alignment horizontal="right" vertical="top"/>
    </xf>
    <xf numFmtId="0" fontId="10" fillId="7" borderId="1" applyAlignment="1" pivotButton="0" quotePrefix="0" xfId="0">
      <alignment horizontal="left" vertical="top"/>
    </xf>
    <xf numFmtId="0" fontId="10" fillId="5" borderId="1" applyAlignment="1" pivotButton="0" quotePrefix="0" xfId="0">
      <alignment horizontal="left" vertical="top"/>
    </xf>
    <xf numFmtId="0" fontId="3" fillId="27" borderId="0" applyAlignment="1" pivotButton="0" quotePrefix="0" xfId="0">
      <alignment horizontal="left" vertical="center" indent="1"/>
    </xf>
    <xf numFmtId="0" fontId="26" fillId="39" borderId="0" applyAlignment="1" pivotButton="0" quotePrefix="0" xfId="0">
      <alignment horizontal="left" vertical="top" wrapText="1" indent="1"/>
    </xf>
    <xf numFmtId="0" fontId="10" fillId="17" borderId="1" applyAlignment="1" pivotButton="0" quotePrefix="0" xfId="0">
      <alignment horizontal="left" vertical="top"/>
    </xf>
    <xf numFmtId="0" fontId="10" fillId="7" borderId="1" applyAlignment="1" pivotButton="0" quotePrefix="0" xfId="0">
      <alignment horizontal="right" vertical="top"/>
    </xf>
    <xf numFmtId="0" fontId="10" fillId="5" borderId="1" applyAlignment="1" pivotButton="0" quotePrefix="0" xfId="0">
      <alignment horizontal="right" vertical="top"/>
    </xf>
    <xf numFmtId="0" fontId="3" fillId="12" borderId="0" applyAlignment="1" pivotButton="0" quotePrefix="0" xfId="0">
      <alignment horizontal="left" vertical="center" indent="1"/>
    </xf>
    <xf numFmtId="0" fontId="23" fillId="17" borderId="0" applyAlignment="1" pivotButton="0" quotePrefix="0" xfId="0">
      <alignment horizontal="left" vertical="top" wrapText="1" indent="1"/>
    </xf>
    <xf numFmtId="0" fontId="30" fillId="39" borderId="1" applyAlignment="1" pivotButton="0" quotePrefix="0" xfId="0">
      <alignment horizontal="left" vertical="top"/>
    </xf>
    <xf numFmtId="0" fontId="13" fillId="39" borderId="1" applyAlignment="1" pivotButton="0" quotePrefix="0" xfId="0">
      <alignment horizontal="left" vertical="top"/>
    </xf>
    <xf numFmtId="0" fontId="13" fillId="39" borderId="1" applyAlignment="1" pivotButton="0" quotePrefix="0" xfId="0">
      <alignment horizontal="left" vertical="top" wrapText="1"/>
    </xf>
    <xf numFmtId="0" fontId="13" fillId="39" borderId="1" applyAlignment="1" pivotButton="0" quotePrefix="0" xfId="0">
      <alignment horizontal="right" vertical="top"/>
    </xf>
    <xf numFmtId="0" fontId="11" fillId="39" borderId="1" applyAlignment="1" pivotButton="0" quotePrefix="0" xfId="0">
      <alignment horizontal="center" vertical="center"/>
    </xf>
    <xf numFmtId="164" fontId="13" fillId="39" borderId="1" applyAlignment="1" pivotButton="0" quotePrefix="0" xfId="0">
      <alignment horizontal="right" vertical="top"/>
    </xf>
    <xf numFmtId="0" fontId="31" fillId="31" borderId="1" applyAlignment="1" pivotButton="0" quotePrefix="0" xfId="0">
      <alignment horizontal="left" vertical="top" wrapText="1"/>
    </xf>
    <xf numFmtId="0" fontId="13" fillId="31" borderId="1" applyAlignment="1" pivotButton="0" quotePrefix="0" xfId="0">
      <alignment horizontal="left" vertical="top"/>
    </xf>
    <xf numFmtId="0" fontId="13" fillId="31" borderId="1" applyAlignment="1" pivotButton="0" quotePrefix="0" xfId="0">
      <alignment horizontal="left" vertical="top" wrapText="1"/>
    </xf>
    <xf numFmtId="0" fontId="13" fillId="31" borderId="1" applyAlignment="1" pivotButton="0" quotePrefix="0" xfId="0">
      <alignment horizontal="right" vertical="top"/>
    </xf>
    <xf numFmtId="164" fontId="13" fillId="31" borderId="1" applyAlignment="1" pivotButton="0" quotePrefix="0" xfId="0">
      <alignment horizontal="right" vertical="top"/>
    </xf>
    <xf numFmtId="0" fontId="13" fillId="17" borderId="1" applyAlignment="1" pivotButton="0" quotePrefix="0" xfId="0">
      <alignment horizontal="left" vertical="top"/>
    </xf>
    <xf numFmtId="0" fontId="13" fillId="17" borderId="1" applyAlignment="1" pivotButton="0" quotePrefix="0" xfId="0">
      <alignment horizontal="right" vertical="top"/>
    </xf>
    <xf numFmtId="164" fontId="13" fillId="17" borderId="1" applyAlignment="1" pivotButton="0" quotePrefix="0" xfId="0">
      <alignment horizontal="right" vertical="top"/>
    </xf>
    <xf numFmtId="0" fontId="11" fillId="17" borderId="1" applyAlignment="1" pivotButton="0" quotePrefix="0" xfId="0">
      <alignment horizontal="center" vertical="center"/>
    </xf>
    <xf numFmtId="0" fontId="32" fillId="30" borderId="0" applyAlignment="1" pivotButton="0" quotePrefix="0" xfId="0">
      <alignment horizontal="left" vertical="top" wrapText="1" indent="1"/>
    </xf>
    <xf numFmtId="0" fontId="10" fillId="7" borderId="1" applyAlignment="1" pivotButton="0" quotePrefix="0" xfId="0">
      <alignment horizontal="right" vertical="top"/>
    </xf>
    <xf numFmtId="0" fontId="10" fillId="7" borderId="1" applyAlignment="1" pivotButton="0" quotePrefix="0" xfId="0">
      <alignment horizontal="left" vertical="top"/>
    </xf>
    <xf numFmtId="0" fontId="10" fillId="5" borderId="1" applyAlignment="1" pivotButton="0" quotePrefix="0" xfId="0">
      <alignment horizontal="right" vertical="top"/>
    </xf>
    <xf numFmtId="0" fontId="10" fillId="5" borderId="1" applyAlignment="1" pivotButton="0" quotePrefix="0" xfId="0">
      <alignment horizontal="left" vertical="top"/>
    </xf>
    <xf numFmtId="0" fontId="10" fillId="17" borderId="1" applyAlignment="1" pivotButton="0" quotePrefix="0" xfId="0">
      <alignment horizontal="right" vertical="top"/>
    </xf>
    <xf numFmtId="0" fontId="10" fillId="31" borderId="1" applyAlignment="1" pivotButton="0" quotePrefix="0" xfId="0">
      <alignment horizontal="left" vertical="top"/>
    </xf>
    <xf numFmtId="0" fontId="10" fillId="7" borderId="1" applyAlignment="1" pivotButton="0" quotePrefix="0" xfId="0">
      <alignment horizontal="left" vertical="top"/>
    </xf>
    <xf numFmtId="0" fontId="10" fillId="7" borderId="1" applyAlignment="1" pivotButton="0" quotePrefix="0" xfId="0">
      <alignment horizontal="right" vertical="top"/>
    </xf>
    <xf numFmtId="0" fontId="10" fillId="5" borderId="1" applyAlignment="1" pivotButton="0" quotePrefix="0" xfId="0">
      <alignment horizontal="left" vertical="top"/>
    </xf>
    <xf numFmtId="0" fontId="10" fillId="5" borderId="1" applyAlignment="1" pivotButton="0" quotePrefix="0" xfId="0">
      <alignment horizontal="right" vertical="top"/>
    </xf>
    <xf numFmtId="164" fontId="10" fillId="7" borderId="1" applyAlignment="1" pivotButton="0" quotePrefix="0" xfId="0">
      <alignment horizontal="right" vertical="top"/>
    </xf>
    <xf numFmtId="164" fontId="10" fillId="5" borderId="1" applyAlignment="1" pivotButton="0" quotePrefix="0" xfId="0">
      <alignment horizontal="right" vertical="top"/>
    </xf>
    <xf numFmtId="0" fontId="14" fillId="17" borderId="0" applyAlignment="1" pivotButton="0" quotePrefix="0" xfId="0">
      <alignment horizontal="left" vertical="top" wrapText="1" indent="1"/>
    </xf>
    <xf numFmtId="0" fontId="10" fillId="7" borderId="1" applyAlignment="1" pivotButton="0" quotePrefix="0" xfId="0">
      <alignment horizontal="left" vertical="top"/>
    </xf>
    <xf numFmtId="0" fontId="10" fillId="5" borderId="1" applyAlignment="1" pivotButton="0" quotePrefix="0" xfId="0">
      <alignment horizontal="left" vertical="top"/>
    </xf>
    <xf numFmtId="0" fontId="10" fillId="31" borderId="1" applyAlignment="1" pivotButton="0" quotePrefix="0" xfId="0">
      <alignment horizontal="left" vertical="top"/>
    </xf>
    <xf numFmtId="164" fontId="10" fillId="31" borderId="1" applyAlignment="1" pivotButton="0" quotePrefix="0" xfId="0">
      <alignment horizontal="right" vertical="top"/>
    </xf>
    <xf numFmtId="164" fontId="10" fillId="5" borderId="1" applyAlignment="1" pivotButton="0" quotePrefix="0" xfId="0">
      <alignment horizontal="right" vertical="top"/>
    </xf>
    <xf numFmtId="0" fontId="3" fillId="40" borderId="0" applyAlignment="1" pivotButton="0" quotePrefix="0" xfId="0">
      <alignment horizontal="left" vertical="center" indent="1"/>
    </xf>
    <xf numFmtId="0" fontId="9" fillId="40" borderId="1" applyAlignment="1" pivotButton="0" quotePrefix="0" xfId="0">
      <alignment horizontal="center" vertical="center" wrapText="1"/>
    </xf>
    <xf numFmtId="0" fontId="10" fillId="41" borderId="1" applyAlignment="1" pivotButton="0" quotePrefix="0" xfId="0">
      <alignment horizontal="left" vertical="top"/>
    </xf>
    <xf numFmtId="164" fontId="10" fillId="41" borderId="1" applyAlignment="1" pivotButton="0" quotePrefix="0" xfId="0">
      <alignment horizontal="right" vertical="top"/>
    </xf>
    <xf numFmtId="0" fontId="10" fillId="41" borderId="1" applyAlignment="1" pivotButton="0" quotePrefix="0" xfId="0">
      <alignment horizontal="left" vertical="top" wrapText="1"/>
    </xf>
    <xf numFmtId="164" fontId="10" fillId="7" borderId="1" applyAlignment="1" pivotButton="0" quotePrefix="0" xfId="0">
      <alignment horizontal="right" vertical="top"/>
    </xf>
    <xf numFmtId="0" fontId="33" fillId="35" borderId="0" applyAlignment="1" pivotButton="0" quotePrefix="0" xfId="0">
      <alignment horizontal="left" vertical="top" wrapText="1" indent="1"/>
    </xf>
    <xf numFmtId="0" fontId="10" fillId="7" borderId="1" applyAlignment="1" pivotButton="0" quotePrefix="0" xfId="0">
      <alignment horizontal="left" vertical="top"/>
    </xf>
    <xf numFmtId="0" fontId="10" fillId="7" borderId="1" applyAlignment="1" pivotButton="0" quotePrefix="0" xfId="0">
      <alignment horizontal="right" vertical="top"/>
    </xf>
    <xf numFmtId="0" fontId="10" fillId="5" borderId="1" applyAlignment="1" pivotButton="0" quotePrefix="0" xfId="0">
      <alignment horizontal="left" vertical="top"/>
    </xf>
    <xf numFmtId="0" fontId="10" fillId="5" borderId="1" applyAlignment="1" pivotButton="0" quotePrefix="0" xfId="0">
      <alignment horizontal="right" vertical="top"/>
    </xf>
    <xf numFmtId="164" fontId="10" fillId="7" borderId="1" applyAlignment="1" pivotButton="0" quotePrefix="0" xfId="0">
      <alignment horizontal="right" vertical="top"/>
    </xf>
    <xf numFmtId="164" fontId="10" fillId="5" borderId="1" applyAlignment="1" pivotButton="0" quotePrefix="0" xfId="0">
      <alignment horizontal="right" vertical="top"/>
    </xf>
    <xf numFmtId="0" fontId="34" fillId="31" borderId="1" applyAlignment="1" pivotButton="0" quotePrefix="0" xfId="0">
      <alignment horizontal="left" vertical="top"/>
    </xf>
    <xf numFmtId="0" fontId="34" fillId="31" borderId="1" applyAlignment="1" pivotButton="0" quotePrefix="0" xfId="0">
      <alignment horizontal="left" vertical="top" wrapText="1"/>
    </xf>
    <xf numFmtId="0" fontId="34" fillId="31" borderId="1" applyAlignment="1" pivotButton="0" quotePrefix="0" xfId="0">
      <alignment horizontal="right" vertical="top"/>
    </xf>
    <xf numFmtId="164" fontId="34" fillId="31" borderId="1" applyAlignment="1" pivotButton="0" quotePrefix="0" xfId="0">
      <alignment horizontal="right" vertical="top"/>
    </xf>
    <xf numFmtId="0" fontId="34" fillId="24" borderId="1" applyAlignment="1" pivotButton="0" quotePrefix="0" xfId="0">
      <alignment horizontal="left" vertical="top" wrapText="1"/>
    </xf>
    <xf numFmtId="0" fontId="34" fillId="24" borderId="1" applyAlignment="1" pivotButton="0" quotePrefix="0" xfId="0">
      <alignment horizontal="left" vertical="top"/>
    </xf>
    <xf numFmtId="0" fontId="34" fillId="24" borderId="1" applyAlignment="1" pivotButton="0" quotePrefix="0" xfId="0">
      <alignment horizontal="right" vertical="top"/>
    </xf>
    <xf numFmtId="164" fontId="34" fillId="24" borderId="1" applyAlignment="1" pivotButton="0" quotePrefix="0" xfId="0">
      <alignment horizontal="right" vertical="top"/>
    </xf>
    <xf numFmtId="0" fontId="35" fillId="17" borderId="7" applyAlignment="1" pivotButton="0" quotePrefix="0" xfId="0">
      <alignment horizontal="left" vertical="top" wrapText="1"/>
    </xf>
    <xf numFmtId="0" fontId="35" fillId="17" borderId="7" applyAlignment="1" pivotButton="0" quotePrefix="0" xfId="0">
      <alignment horizontal="left" vertical="top"/>
    </xf>
    <xf numFmtId="0" fontId="35" fillId="17" borderId="7" applyAlignment="1" pivotButton="0" quotePrefix="0" xfId="0">
      <alignment horizontal="right" vertical="top"/>
    </xf>
    <xf numFmtId="164" fontId="35" fillId="17" borderId="7" applyAlignment="1" pivotButton="0" quotePrefix="0" xfId="0">
      <alignment horizontal="right" vertical="top"/>
    </xf>
    <xf numFmtId="0" fontId="35" fillId="42" borderId="0" applyAlignment="1" pivotButton="0" quotePrefix="0" xfId="0">
      <alignment horizontal="left" vertical="center" wrapText="1" indent="1"/>
    </xf>
    <xf numFmtId="0" fontId="36" fillId="24" borderId="1" applyAlignment="1" pivotButton="0" quotePrefix="0" xfId="0">
      <alignment horizontal="center" vertical="center" wrapText="1"/>
    </xf>
    <xf numFmtId="0" fontId="15" fillId="7" borderId="1" applyAlignment="1" pivotButton="0" quotePrefix="0" xfId="0">
      <alignment horizontal="center" vertical="center" wrapText="1"/>
    </xf>
    <xf numFmtId="0" fontId="7" fillId="2" borderId="8" applyAlignment="1" pivotButton="0" quotePrefix="0" xfId="0">
      <alignment horizontal="left" vertical="center" indent="1"/>
    </xf>
    <xf numFmtId="0" fontId="24" fillId="32" borderId="1" applyAlignment="1" pivotButton="0" quotePrefix="0" xfId="0">
      <alignment horizontal="left" vertical="center" wrapText="1" indent="1"/>
    </xf>
    <xf numFmtId="0" fontId="33" fillId="35" borderId="1" applyAlignment="1" pivotButton="0" quotePrefix="0" xfId="0">
      <alignment horizontal="left" vertical="center" wrapText="1" indent="1"/>
    </xf>
    <xf numFmtId="0" fontId="3" fillId="10" borderId="1" applyAlignment="1" pivotButton="0" quotePrefix="0" xfId="0">
      <alignment horizontal="left" vertical="center" indent="1"/>
    </xf>
    <xf numFmtId="0" fontId="34" fillId="31" borderId="1" applyAlignment="1" pivotButton="0" quotePrefix="0" xfId="0">
      <alignment horizontal="left" vertical="center" indent="1"/>
    </xf>
    <xf numFmtId="0" fontId="34" fillId="31" borderId="1" applyAlignment="1" pivotButton="0" quotePrefix="0" xfId="0">
      <alignment horizontal="right" vertical="center"/>
    </xf>
    <xf numFmtId="164" fontId="34" fillId="31" borderId="1" applyAlignment="1" pivotButton="0" quotePrefix="0" xfId="0">
      <alignment horizontal="right" vertical="center"/>
    </xf>
    <xf numFmtId="0" fontId="34" fillId="24" borderId="1" applyAlignment="1" pivotButton="0" quotePrefix="0" xfId="0">
      <alignment horizontal="left" vertical="center" indent="1"/>
    </xf>
    <xf numFmtId="164" fontId="34" fillId="24" borderId="1" applyAlignment="1" pivotButton="0" quotePrefix="0" xfId="0">
      <alignment horizontal="right" vertical="center"/>
    </xf>
    <xf numFmtId="0" fontId="34" fillId="24" borderId="1" applyAlignment="1" pivotButton="0" quotePrefix="0" xfId="0">
      <alignment horizontal="right" vertical="center"/>
    </xf>
    <xf numFmtId="0" fontId="35" fillId="17" borderId="1" applyAlignment="1" pivotButton="0" quotePrefix="0" xfId="0">
      <alignment horizontal="left" vertical="center" indent="1"/>
    </xf>
    <xf numFmtId="164" fontId="35" fillId="17" borderId="1" applyAlignment="1" pivotButton="0" quotePrefix="0" xfId="0">
      <alignment horizontal="right" vertical="center"/>
    </xf>
    <xf numFmtId="0" fontId="35" fillId="17" borderId="1" applyAlignment="1" pivotButton="0" quotePrefix="0" xfId="0">
      <alignment horizontal="right" vertical="center"/>
    </xf>
    <xf numFmtId="0" fontId="3" fillId="43" borderId="1" applyAlignment="1" pivotButton="0" quotePrefix="0" xfId="0">
      <alignment horizontal="left" vertical="center" indent="1"/>
    </xf>
    <xf numFmtId="0" fontId="35" fillId="44" borderId="1" applyAlignment="1" pivotButton="0" quotePrefix="0" xfId="0">
      <alignment horizontal="left" vertical="center" indent="1"/>
    </xf>
    <xf numFmtId="164" fontId="35" fillId="44" borderId="1" applyAlignment="1" pivotButton="0" quotePrefix="0" xfId="0">
      <alignment horizontal="right" vertical="center"/>
    </xf>
    <xf numFmtId="0" fontId="35" fillId="44" borderId="1" applyAlignment="1" pivotButton="0" quotePrefix="0" xfId="0">
      <alignment horizontal="right" vertical="center"/>
    </xf>
    <xf numFmtId="0" fontId="35" fillId="44" borderId="1" applyAlignment="1" pivotButton="0" quotePrefix="0" xfId="0">
      <alignment horizontal="left" vertical="center" wrapText="1" indent="1"/>
    </xf>
    <xf numFmtId="0" fontId="35" fillId="17" borderId="1" applyAlignment="1" pivotButton="0" quotePrefix="0" xfId="0">
      <alignment horizontal="left" vertical="center" wrapText="1" indent="1"/>
    </xf>
    <xf numFmtId="0" fontId="3" fillId="45" borderId="1" applyAlignment="1" pivotButton="0" quotePrefix="0" xfId="0">
      <alignment horizontal="left" vertical="center" indent="1"/>
    </xf>
    <xf numFmtId="0" fontId="9" fillId="46" borderId="1" applyAlignment="1" pivotButton="0" quotePrefix="0" xfId="0">
      <alignment horizontal="center" vertical="center" wrapText="1"/>
    </xf>
    <xf numFmtId="0" fontId="34" fillId="39" borderId="1" applyAlignment="1" pivotButton="0" quotePrefix="0" xfId="0">
      <alignment horizontal="left" vertical="center" indent="1"/>
    </xf>
    <xf numFmtId="0" fontId="34" fillId="39" borderId="1" applyAlignment="1" pivotButton="0" quotePrefix="0" xfId="0">
      <alignment horizontal="left" vertical="center" wrapText="1" indent="1"/>
    </xf>
    <xf numFmtId="0" fontId="34" fillId="47" borderId="1" applyAlignment="1" pivotButton="0" quotePrefix="0" xfId="0">
      <alignment horizontal="left" vertical="center" indent="1"/>
    </xf>
    <xf numFmtId="0" fontId="34" fillId="47" borderId="1" applyAlignment="1" pivotButton="0" quotePrefix="0" xfId="0">
      <alignment horizontal="left" vertical="center" wrapText="1" indent="1"/>
    </xf>
    <xf numFmtId="0" fontId="34" fillId="5" borderId="1" applyAlignment="1" pivotButton="0" quotePrefix="0" xfId="0">
      <alignment horizontal="left" vertical="center" indent="1"/>
    </xf>
    <xf numFmtId="164" fontId="34" fillId="5" borderId="1" applyAlignment="1" pivotButton="0" quotePrefix="0" xfId="0">
      <alignment horizontal="right" vertical="center"/>
    </xf>
    <xf numFmtId="0" fontId="34" fillId="5" borderId="1" applyAlignment="1" pivotButton="0" quotePrefix="0" xfId="0">
      <alignment horizontal="right" vertical="center"/>
    </xf>
    <xf numFmtId="0" fontId="34" fillId="7" borderId="1" applyAlignment="1" pivotButton="0" quotePrefix="0" xfId="0">
      <alignment horizontal="left" vertical="center" indent="1"/>
    </xf>
    <xf numFmtId="164" fontId="34" fillId="7" borderId="1" applyAlignment="1" pivotButton="0" quotePrefix="0" xfId="0">
      <alignment horizontal="right" vertical="center"/>
    </xf>
    <xf numFmtId="0" fontId="34" fillId="7" borderId="1" applyAlignment="1" pivotButton="0" quotePrefix="0" xfId="0">
      <alignment horizontal="right" vertical="center"/>
    </xf>
    <xf numFmtId="0" fontId="34" fillId="5" borderId="1" applyAlignment="1" pivotButton="0" quotePrefix="0" xfId="0">
      <alignment horizontal="left" vertical="center" wrapText="1" indent="1"/>
    </xf>
    <xf numFmtId="0" fontId="34" fillId="7" borderId="1" applyAlignment="1" pivotButton="0" quotePrefix="0" xfId="0">
      <alignment horizontal="left" vertical="center" wrapText="1" indent="1"/>
    </xf>
    <xf numFmtId="0" fontId="34" fillId="33" borderId="1" applyAlignment="1" pivotButton="0" quotePrefix="0" xfId="0">
      <alignment horizontal="left" vertical="center" indent="1"/>
    </xf>
    <xf numFmtId="0" fontId="34" fillId="33" borderId="1" applyAlignment="1" pivotButton="0" quotePrefix="0" xfId="0">
      <alignment horizontal="right" vertical="center"/>
    </xf>
    <xf numFmtId="0" fontId="34" fillId="33" borderId="1" applyAlignment="1" pivotButton="0" quotePrefix="0" xfId="0">
      <alignment horizontal="left" vertical="center" wrapText="1" indent="1"/>
    </xf>
    <xf numFmtId="0" fontId="37" fillId="48" borderId="1" applyAlignment="1" pivotButton="0" quotePrefix="0" xfId="0">
      <alignment horizontal="left" vertical="center" wrapText="1" indent="1"/>
    </xf>
    <xf numFmtId="0" fontId="34" fillId="31" borderId="1" applyAlignment="1" pivotButton="0" quotePrefix="0" xfId="0">
      <alignment horizontal="left" vertical="center" wrapText="1" indent="1"/>
    </xf>
    <xf numFmtId="0" fontId="34" fillId="24" borderId="1" applyAlignment="1" pivotButton="0" quotePrefix="0" xfId="0">
      <alignment horizontal="left" vertical="center" wrapText="1" indent="1"/>
    </xf>
    <xf numFmtId="0" fontId="25" fillId="35" borderId="1" applyAlignment="1" pivotButton="0" quotePrefix="0" xfId="0">
      <alignment horizontal="left" vertical="center" wrapText="1" indent="1"/>
    </xf>
    <xf numFmtId="0" fontId="34" fillId="17" borderId="1" applyAlignment="1" pivotButton="0" quotePrefix="0" xfId="0">
      <alignment horizontal="left" vertical="center" indent="1"/>
    </xf>
    <xf numFmtId="0" fontId="34" fillId="17" borderId="1" applyAlignment="1" pivotButton="0" quotePrefix="0" xfId="0">
      <alignment horizontal="right" vertical="center"/>
    </xf>
    <xf numFmtId="164" fontId="34" fillId="17" borderId="1" applyAlignment="1" pivotButton="0" quotePrefix="0" xfId="0">
      <alignment horizontal="right" vertical="center"/>
    </xf>
    <xf numFmtId="0" fontId="34" fillId="17" borderId="1" applyAlignment="1" pivotButton="0" quotePrefix="0" xfId="0">
      <alignment horizontal="left" vertical="center" wrapText="1" indent="1"/>
    </xf>
    <xf numFmtId="0" fontId="34" fillId="30" borderId="1" applyAlignment="1" pivotButton="0" quotePrefix="0" xfId="0">
      <alignment horizontal="left" vertical="center" indent="1"/>
    </xf>
    <xf numFmtId="0" fontId="34" fillId="30" borderId="1" applyAlignment="1" pivotButton="0" quotePrefix="0" xfId="0">
      <alignment horizontal="left" vertical="center" wrapText="1" indent="1"/>
    </xf>
    <xf numFmtId="0" fontId="38" fillId="47" borderId="1" applyAlignment="1" pivotButton="0" quotePrefix="0" xfId="0">
      <alignment horizontal="left" vertical="center" wrapText="1" indent="1"/>
    </xf>
    <xf numFmtId="0" fontId="34" fillId="39" borderId="1" applyAlignment="1" pivotButton="0" quotePrefix="0" xfId="0">
      <alignment horizontal="right" vertical="center"/>
    </xf>
    <xf numFmtId="0" fontId="34" fillId="47" borderId="1" applyAlignment="1" pivotButton="0" quotePrefix="0" xfId="0">
      <alignment horizontal="right" vertical="center"/>
    </xf>
    <xf numFmtId="0" fontId="0" fillId="0" borderId="11" pivotButton="0" quotePrefix="0" xfId="0"/>
    <xf numFmtId="0" fontId="0" fillId="0" borderId="12" pivotButton="0" quotePrefix="0" xfId="0"/>
    <xf numFmtId="0" fontId="0" fillId="0" borderId="15" pivotButton="0" quotePrefix="0" xfId="0"/>
    <xf numFmtId="0" fontId="0" fillId="0" borderId="16" pivotButton="0" quotePrefix="0" xfId="0"/>
    <xf numFmtId="0" fontId="7" fillId="2" borderId="8" applyAlignment="1" pivotButton="0" quotePrefix="0" xfId="0">
      <alignment horizontal="left" vertical="center" indent="1"/>
    </xf>
    <xf numFmtId="0" fontId="14" fillId="17" borderId="1" applyAlignment="1" pivotButton="0" quotePrefix="0" xfId="0">
      <alignment horizontal="left" vertical="center" wrapText="1" indent="1"/>
    </xf>
    <xf numFmtId="0" fontId="3" fillId="10" borderId="1" applyAlignment="1" pivotButton="0" quotePrefix="0" xfId="0">
      <alignment horizontal="left" vertical="center" indent="1"/>
    </xf>
    <xf numFmtId="0" fontId="34" fillId="31" borderId="1" applyAlignment="1" pivotButton="0" quotePrefix="0" xfId="0">
      <alignment horizontal="left" vertical="center" indent="1"/>
    </xf>
    <xf numFmtId="0" fontId="34" fillId="24" borderId="1" applyAlignment="1" pivotButton="0" quotePrefix="0" xfId="0">
      <alignment horizontal="left" vertical="center" indent="1"/>
    </xf>
    <xf numFmtId="0" fontId="34" fillId="7" borderId="1" applyAlignment="1" pivotButton="0" quotePrefix="0" xfId="0">
      <alignment horizontal="left" vertical="center" indent="1"/>
    </xf>
    <xf numFmtId="0" fontId="34" fillId="5" borderId="1" applyAlignment="1" pivotButton="0" quotePrefix="0" xfId="0">
      <alignment horizontal="left" vertical="center" indent="1"/>
    </xf>
    <xf numFmtId="0" fontId="13" fillId="33" borderId="1" applyAlignment="1" pivotButton="0" quotePrefix="0" xfId="0">
      <alignment horizontal="left" vertical="center" wrapText="1" indent="1"/>
    </xf>
    <xf numFmtId="0" fontId="34" fillId="7" borderId="1" applyAlignment="1" pivotButton="0" quotePrefix="0" xfId="0">
      <alignment horizontal="right" vertical="center"/>
    </xf>
    <xf numFmtId="0" fontId="35" fillId="17" borderId="1" applyAlignment="1" pivotButton="0" quotePrefix="0" xfId="0">
      <alignment horizontal="left" vertical="center" indent="1"/>
    </xf>
    <xf numFmtId="0" fontId="35" fillId="17" borderId="1" applyAlignment="1" pivotButton="0" quotePrefix="0" xfId="0">
      <alignment horizontal="right" vertical="center"/>
    </xf>
    <xf numFmtId="0" fontId="34" fillId="5" borderId="1" applyAlignment="1" pivotButton="0" quotePrefix="0" xfId="0">
      <alignment horizontal="right" vertical="center"/>
    </xf>
    <xf numFmtId="0" fontId="3" fillId="43" borderId="1" applyAlignment="1" pivotButton="0" quotePrefix="0" xfId="0">
      <alignment horizontal="left" vertical="center" indent="1"/>
    </xf>
    <xf numFmtId="0" fontId="39" fillId="17" borderId="1" applyAlignment="1" pivotButton="0" quotePrefix="0" xfId="0">
      <alignment horizontal="left" vertical="center" wrapText="1" indent="1"/>
    </xf>
    <xf numFmtId="0" fontId="34" fillId="24" borderId="1" applyAlignment="1" pivotButton="0" quotePrefix="0" xfId="0">
      <alignment horizontal="right" vertical="center"/>
    </xf>
    <xf numFmtId="0" fontId="7" fillId="2" borderId="8" applyAlignment="1" pivotButton="0" quotePrefix="0" xfId="0">
      <alignment horizontal="left" vertical="center" indent="1"/>
    </xf>
    <xf numFmtId="0" fontId="3" fillId="10" borderId="1" applyAlignment="1" pivotButton="0" quotePrefix="0" xfId="0">
      <alignment horizontal="left" vertical="center" indent="1"/>
    </xf>
    <xf numFmtId="0" fontId="34" fillId="7" borderId="1" applyAlignment="1" pivotButton="0" quotePrefix="0" xfId="0">
      <alignment horizontal="left" vertical="center" indent="1"/>
    </xf>
    <xf numFmtId="0" fontId="34" fillId="5" borderId="1" applyAlignment="1" pivotButton="0" quotePrefix="0" xfId="0">
      <alignment horizontal="left" vertical="center" indent="1"/>
    </xf>
    <xf numFmtId="0" fontId="34" fillId="7" borderId="1" applyAlignment="1" pivotButton="0" quotePrefix="0" xfId="0">
      <alignment horizontal="right" vertical="center"/>
    </xf>
    <xf numFmtId="0" fontId="34" fillId="5" borderId="1" applyAlignment="1" pivotButton="0" quotePrefix="0" xfId="0">
      <alignment horizontal="right" vertical="center"/>
    </xf>
    <xf numFmtId="0" fontId="34" fillId="17" borderId="1" applyAlignment="1" pivotButton="0" quotePrefix="0" xfId="0">
      <alignment horizontal="left" vertical="center" indent="1"/>
    </xf>
    <xf numFmtId="0" fontId="34" fillId="17" borderId="1" applyAlignment="1" pivotButton="0" quotePrefix="0" xfId="0">
      <alignment horizontal="right" vertical="center"/>
    </xf>
    <xf numFmtId="0" fontId="35" fillId="17" borderId="1" applyAlignment="1" pivotButton="0" quotePrefix="0" xfId="0">
      <alignment horizontal="left" vertical="center" indent="1"/>
    </xf>
    <xf numFmtId="0" fontId="35" fillId="17" borderId="1" applyAlignment="1" pivotButton="0" quotePrefix="0" xfId="0">
      <alignment horizontal="right" vertical="center"/>
    </xf>
    <xf numFmtId="0" fontId="34" fillId="24" borderId="1" applyAlignment="1" pivotButton="0" quotePrefix="0" xfId="0">
      <alignment horizontal="left" vertical="center" indent="1"/>
    </xf>
    <xf numFmtId="0" fontId="34" fillId="24" borderId="1" applyAlignment="1" pivotButton="0" quotePrefix="0" xfId="0">
      <alignment horizontal="right" vertical="center"/>
    </xf>
    <xf numFmtId="0" fontId="34" fillId="48" borderId="1" applyAlignment="1" pivotButton="0" quotePrefix="0" xfId="0">
      <alignment horizontal="left" vertical="center" indent="1"/>
    </xf>
    <xf numFmtId="0" fontId="34" fillId="48" borderId="1" applyAlignment="1" pivotButton="0" quotePrefix="0" xfId="0">
      <alignment horizontal="left" vertical="center" wrapText="1" indent="1"/>
    </xf>
    <xf numFmtId="0" fontId="34" fillId="48" borderId="1" applyAlignment="1" pivotButton="0" quotePrefix="0" xfId="0">
      <alignment horizontal="right" vertical="center"/>
    </xf>
    <xf numFmtId="0" fontId="3" fillId="45" borderId="1" applyAlignment="1" pivotButton="0" quotePrefix="0" xfId="0">
      <alignment horizontal="left" vertical="center" indent="1"/>
    </xf>
    <xf numFmtId="0" fontId="40" fillId="47" borderId="1" applyAlignment="1" pivotButton="0" quotePrefix="0" xfId="0">
      <alignment horizontal="left" vertical="center" wrapText="1" indent="1"/>
    </xf>
    <xf numFmtId="0" fontId="34" fillId="39" borderId="1" applyAlignment="1" pivotButton="0" quotePrefix="0" xfId="0">
      <alignment horizontal="left" vertical="center" indent="1"/>
    </xf>
    <xf numFmtId="0" fontId="34" fillId="47" borderId="1" applyAlignment="1" pivotButton="0" quotePrefix="0" xfId="0">
      <alignment horizontal="left" vertical="center" indent="1"/>
    </xf>
    <xf numFmtId="0" fontId="7" fillId="2" borderId="8" applyAlignment="1" pivotButton="0" quotePrefix="0" xfId="0">
      <alignment horizontal="left" vertical="center" indent="1"/>
    </xf>
    <xf numFmtId="0" fontId="3" fillId="10" borderId="1" applyAlignment="1" pivotButton="0" quotePrefix="0" xfId="0">
      <alignment horizontal="left" vertical="center" indent="1"/>
    </xf>
    <xf numFmtId="0" fontId="34" fillId="7" borderId="1" applyAlignment="1" pivotButton="0" quotePrefix="0" xfId="0">
      <alignment horizontal="left" vertical="center" indent="1"/>
    </xf>
    <xf numFmtId="0" fontId="34" fillId="5" borderId="1" applyAlignment="1" pivotButton="0" quotePrefix="0" xfId="0">
      <alignment horizontal="left" vertical="center" indent="1"/>
    </xf>
    <xf numFmtId="0" fontId="34" fillId="17" borderId="1" applyAlignment="1" pivotButton="0" quotePrefix="0" xfId="0">
      <alignment horizontal="left" vertical="center" indent="1"/>
    </xf>
    <xf numFmtId="0" fontId="34" fillId="24" borderId="1" applyAlignment="1" pivotButton="0" quotePrefix="0" xfId="0">
      <alignment horizontal="left" vertical="center" indent="1"/>
    </xf>
    <xf numFmtId="0" fontId="34" fillId="7" borderId="1" applyAlignment="1" pivotButton="0" quotePrefix="0" xfId="0">
      <alignment horizontal="right" vertical="center"/>
    </xf>
    <xf numFmtId="0" fontId="34" fillId="5" borderId="1" applyAlignment="1" pivotButton="0" quotePrefix="0" xfId="0">
      <alignment horizontal="right" vertical="center"/>
    </xf>
    <xf numFmtId="0" fontId="34" fillId="49" borderId="1" applyAlignment="1" pivotButton="0" quotePrefix="0" xfId="0">
      <alignment horizontal="left" vertical="center" indent="1"/>
    </xf>
    <xf numFmtId="0" fontId="24" fillId="31" borderId="1" applyAlignment="1" pivotButton="0" quotePrefix="0" xfId="0">
      <alignment horizontal="left" vertical="center" wrapText="1" indent="1"/>
    </xf>
    <xf numFmtId="0" fontId="34" fillId="24" borderId="1" applyAlignment="1" pivotButton="0" quotePrefix="0" xfId="0">
      <alignment horizontal="right" vertical="center"/>
    </xf>
    <xf numFmtId="0" fontId="34" fillId="48" borderId="1" applyAlignment="1" pivotButton="0" quotePrefix="0" xfId="0">
      <alignment horizontal="left" vertical="center" indent="1"/>
    </xf>
    <xf numFmtId="0" fontId="34" fillId="48" borderId="1" applyAlignment="1" pivotButton="0" quotePrefix="0" xfId="0">
      <alignment horizontal="right" vertical="center"/>
    </xf>
    <xf numFmtId="0" fontId="3" fillId="43" borderId="1" applyAlignment="1" pivotButton="0" quotePrefix="0" xfId="0">
      <alignment horizontal="left" vertical="center" indent="1"/>
    </xf>
    <xf numFmtId="0" fontId="41" fillId="44" borderId="1" applyAlignment="1" pivotButton="0" quotePrefix="0" xfId="0">
      <alignment horizontal="left" vertical="center" indent="1"/>
    </xf>
    <xf numFmtId="0" fontId="41" fillId="44" borderId="1" applyAlignment="1" pivotButton="0" quotePrefix="0" xfId="0">
      <alignment horizontal="left" vertical="center" wrapText="1" indent="1"/>
    </xf>
    <xf numFmtId="0" fontId="41" fillId="17" borderId="1" applyAlignment="1" pivotButton="0" quotePrefix="0" xfId="0">
      <alignment horizontal="left" vertical="center" indent="1"/>
    </xf>
    <xf numFmtId="0" fontId="41" fillId="17" borderId="1" applyAlignment="1" pivotButton="0" quotePrefix="0" xfId="0">
      <alignment horizontal="left" vertical="center" wrapText="1" indent="1"/>
    </xf>
    <xf numFmtId="0" fontId="7" fillId="2" borderId="8" applyAlignment="1" pivotButton="0" quotePrefix="0" xfId="0">
      <alignment horizontal="left" vertical="center" indent="1"/>
    </xf>
    <xf numFmtId="0" fontId="3" fillId="10" borderId="1" applyAlignment="1" pivotButton="0" quotePrefix="0" xfId="0">
      <alignment horizontal="left" vertical="center" indent="1"/>
    </xf>
    <xf numFmtId="0" fontId="34" fillId="5" borderId="1" applyAlignment="1" pivotButton="0" quotePrefix="0" xfId="0">
      <alignment horizontal="right" vertical="center"/>
    </xf>
    <xf numFmtId="0" fontId="34" fillId="7" borderId="1" applyAlignment="1" pivotButton="0" quotePrefix="0" xfId="0">
      <alignment horizontal="left" vertical="center" indent="1"/>
    </xf>
    <xf numFmtId="0" fontId="34" fillId="5" borderId="1" applyAlignment="1" pivotButton="0" quotePrefix="0" xfId="0">
      <alignment horizontal="left" vertical="center" indent="1"/>
    </xf>
    <xf numFmtId="0" fontId="34" fillId="7" borderId="1" applyAlignment="1" pivotButton="0" quotePrefix="0" xfId="0">
      <alignment horizontal="right" vertical="center"/>
    </xf>
    <xf numFmtId="0" fontId="3" fillId="43" borderId="1" applyAlignment="1" pivotButton="0" quotePrefix="0" xfId="0">
      <alignment horizontal="left" vertical="center" indent="1"/>
    </xf>
    <xf numFmtId="0" fontId="35" fillId="44" borderId="1" applyAlignment="1" pivotButton="0" quotePrefix="0" xfId="0">
      <alignment horizontal="right" vertical="center"/>
    </xf>
    <xf numFmtId="0" fontId="35" fillId="44" borderId="1" applyAlignment="1" pivotButton="0" quotePrefix="0" xfId="0">
      <alignment horizontal="left" vertical="center" indent="1"/>
    </xf>
    <xf numFmtId="0" fontId="35" fillId="17" borderId="1" applyAlignment="1" pivotButton="0" quotePrefix="0" xfId="0">
      <alignment horizontal="right" vertical="center"/>
    </xf>
    <xf numFmtId="0" fontId="35" fillId="17" borderId="1" applyAlignment="1" pivotButton="0" quotePrefix="0" xfId="0">
      <alignment horizontal="left" vertical="center" indent="1"/>
    </xf>
    <xf numFmtId="0" fontId="41" fillId="44" borderId="1" applyAlignment="1" pivotButton="0" quotePrefix="0" xfId="0">
      <alignment horizontal="left" vertical="center" indent="1"/>
    </xf>
    <xf numFmtId="0" fontId="41" fillId="17" borderId="1" applyAlignment="1" pivotButton="0" quotePrefix="0" xfId="0">
      <alignment horizontal="left" vertical="center" indent="1"/>
    </xf>
    <xf numFmtId="0" fontId="34" fillId="24" borderId="1" applyAlignment="1" pivotButton="0" quotePrefix="0" xfId="0">
      <alignment horizontal="left" vertical="center" indent="1"/>
    </xf>
    <xf numFmtId="0" fontId="34" fillId="49" borderId="1" applyAlignment="1" pivotButton="0" quotePrefix="0" xfId="0">
      <alignment horizontal="left" vertical="center" indent="1"/>
    </xf>
    <xf numFmtId="0" fontId="34" fillId="49" borderId="1" applyAlignment="1" pivotButton="0" quotePrefix="0" xfId="0">
      <alignment horizontal="left" vertical="center" wrapText="1" indent="1"/>
    </xf>
    <xf numFmtId="0" fontId="34" fillId="48" borderId="1" applyAlignment="1" pivotButton="0" quotePrefix="0" xfId="0">
      <alignment horizontal="left" vertical="center" indent="1"/>
    </xf>
    <xf numFmtId="0" fontId="7" fillId="2" borderId="8" applyAlignment="1" pivotButton="0" quotePrefix="0" xfId="0">
      <alignment horizontal="left" vertical="center" indent="1"/>
    </xf>
    <xf numFmtId="0" fontId="3" fillId="10" borderId="1" applyAlignment="1" pivotButton="0" quotePrefix="0" xfId="0">
      <alignment horizontal="left" vertical="center" indent="1"/>
    </xf>
    <xf numFmtId="0" fontId="34" fillId="17" borderId="1" applyAlignment="1" pivotButton="0" quotePrefix="0" xfId="0">
      <alignment horizontal="left" vertical="center" indent="1"/>
    </xf>
    <xf numFmtId="0" fontId="34" fillId="7" borderId="1" applyAlignment="1" pivotButton="0" quotePrefix="0" xfId="0">
      <alignment horizontal="left" vertical="center" indent="1"/>
    </xf>
    <xf numFmtId="0" fontId="34" fillId="5" borderId="1" applyAlignment="1" pivotButton="0" quotePrefix="0" xfId="0">
      <alignment horizontal="left" vertical="center" indent="1"/>
    </xf>
    <xf numFmtId="0" fontId="34" fillId="48" borderId="1" applyAlignment="1" pivotButton="0" quotePrefix="0" xfId="0">
      <alignment horizontal="left" vertical="center" indent="1"/>
    </xf>
    <xf numFmtId="0" fontId="34" fillId="24" borderId="1" applyAlignment="1" pivotButton="0" quotePrefix="0" xfId="0">
      <alignment horizontal="left" vertical="center" indent="1"/>
    </xf>
    <xf numFmtId="0" fontId="34" fillId="5" borderId="1" applyAlignment="1" pivotButton="0" quotePrefix="0" xfId="0">
      <alignment horizontal="right" vertical="center"/>
    </xf>
    <xf numFmtId="0" fontId="34" fillId="17" borderId="1" applyAlignment="1" pivotButton="0" quotePrefix="0" xfId="0">
      <alignment horizontal="right" vertical="center"/>
    </xf>
    <xf numFmtId="0" fontId="34" fillId="24" borderId="1" applyAlignment="1" pivotButton="0" quotePrefix="0" xfId="0">
      <alignment horizontal="right" vertical="center"/>
    </xf>
    <xf numFmtId="0" fontId="35" fillId="31" borderId="1" applyAlignment="1" pivotButton="0" quotePrefix="0" xfId="0">
      <alignment horizontal="left" vertical="center" indent="1"/>
    </xf>
    <xf numFmtId="0" fontId="35" fillId="31" borderId="1" applyAlignment="1" pivotButton="0" quotePrefix="0" xfId="0">
      <alignment horizontal="right" vertical="center"/>
    </xf>
    <xf numFmtId="0" fontId="35" fillId="31" borderId="1" applyAlignment="1" pivotButton="0" quotePrefix="0" xfId="0">
      <alignment horizontal="left" vertical="center" wrapText="1" indent="1"/>
    </xf>
    <xf numFmtId="0" fontId="35" fillId="17" borderId="1" applyAlignment="1" pivotButton="0" quotePrefix="0" xfId="0">
      <alignment horizontal="left" vertical="center" indent="1"/>
    </xf>
    <xf numFmtId="0" fontId="35" fillId="17" borderId="1" applyAlignment="1" pivotButton="0" quotePrefix="0" xfId="0">
      <alignment horizontal="right" vertical="center"/>
    </xf>
    <xf numFmtId="0" fontId="3" fillId="43" borderId="1" applyAlignment="1" pivotButton="0" quotePrefix="0" xfId="0">
      <alignment horizontal="left" vertical="center" indent="1"/>
    </xf>
    <xf numFmtId="0" fontId="35" fillId="44" borderId="1" applyAlignment="1" pivotButton="0" quotePrefix="0" xfId="0">
      <alignment horizontal="left" vertical="center" indent="1"/>
    </xf>
    <xf numFmtId="0" fontId="3" fillId="45" borderId="1" applyAlignment="1" pivotButton="0" quotePrefix="0" xfId="0">
      <alignment horizontal="left" vertical="center" indent="1"/>
    </xf>
    <xf numFmtId="0" fontId="34" fillId="39" borderId="1" applyAlignment="1" pivotButton="0" quotePrefix="0" xfId="0">
      <alignment horizontal="left" vertical="center" indent="1"/>
    </xf>
    <xf numFmtId="0" fontId="34" fillId="47" borderId="1" applyAlignment="1" pivotButton="0" quotePrefix="0" xfId="0">
      <alignment horizontal="left" vertical="center" indent="1"/>
    </xf>
    <xf numFmtId="0" fontId="3" fillId="50" borderId="1" applyAlignment="1" pivotButton="0" quotePrefix="0" xfId="0">
      <alignment horizontal="left" vertical="center" indent="1"/>
    </xf>
    <xf numFmtId="0" fontId="9" fillId="51" borderId="1" applyAlignment="1" pivotButton="0" quotePrefix="0" xfId="0">
      <alignment horizontal="center" vertical="center" wrapText="1"/>
    </xf>
    <xf numFmtId="0" fontId="37" fillId="48" borderId="1" applyAlignment="1" pivotButton="0" quotePrefix="0" xfId="0">
      <alignment horizontal="left" vertical="center" indent="1"/>
    </xf>
    <xf numFmtId="0" fontId="37" fillId="30" borderId="1" applyAlignment="1" pivotButton="0" quotePrefix="0" xfId="0">
      <alignment horizontal="left" vertical="center" indent="1"/>
    </xf>
    <xf numFmtId="0" fontId="37" fillId="30"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7"/>
  <sheetViews>
    <sheetView showGridLines="0" workbookViewId="0">
      <selection activeCell="A1" sqref="A1"/>
    </sheetView>
  </sheetViews>
  <sheetFormatPr baseColWidth="8" defaultRowHeight="15"/>
  <cols>
    <col width="3" customWidth="1" min="1" max="1"/>
    <col width="22" customWidth="1" min="2" max="2"/>
    <col width="20" customWidth="1" min="3" max="3"/>
    <col width="36" customWidth="1" min="4" max="4"/>
    <col width="36" customWidth="1" min="5" max="5"/>
  </cols>
  <sheetData>
    <row r="1">
      <c r="A1" s="1" t="n"/>
      <c r="B1" s="1" t="n"/>
      <c r="C1" s="1" t="n"/>
      <c r="D1" s="1" t="n"/>
      <c r="E1" s="1" t="n"/>
    </row>
    <row r="2" ht="36" customHeight="1">
      <c r="A2" s="1" t="n"/>
      <c r="B2" s="2" t="inlineStr">
        <is>
          <t>Hydrogen Permeation Literature Database</t>
        </is>
      </c>
      <c r="C2" s="1" t="n"/>
      <c r="D2" s="1" t="n"/>
      <c r="E2" s="1" t="n"/>
    </row>
    <row r="3" ht="18" customHeight="1">
      <c r="A3" s="1" t="n"/>
      <c r="B3" s="3" t="inlineStr">
        <is>
          <t>Metal + Oxide Transport Properties | Surface Kinetics | Bibliography</t>
        </is>
      </c>
      <c r="C3" s="1" t="n"/>
      <c r="D3" s="1" t="n"/>
      <c r="E3" s="1" t="n"/>
    </row>
    <row r="4">
      <c r="A4" s="1" t="n"/>
      <c r="B4" s="1" t="n"/>
      <c r="C4" s="1" t="n"/>
      <c r="D4" s="1" t="n"/>
      <c r="E4" s="1" t="n"/>
    </row>
    <row r="5" ht="18" customHeight="1">
      <c r="A5" s="1" t="n"/>
      <c r="B5" s="4" t="inlineStr">
        <is>
          <t>Sheet</t>
        </is>
      </c>
      <c r="C5" s="4" t="inlineStr">
        <is>
          <t>Contents</t>
        </is>
      </c>
      <c r="D5" s="4" t="inlineStr">
        <is>
          <t>Entries</t>
        </is>
      </c>
      <c r="E5" s="1" t="n"/>
    </row>
    <row r="6" ht="16" customHeight="1">
      <c r="A6" s="1" t="n"/>
      <c r="B6" s="5" t="inlineStr">
        <is>
          <t>1 — Metals_Bulk</t>
        </is>
      </c>
      <c r="C6" s="5" t="inlineStr">
        <is>
          <t>All 76 metal entries: D, Ks, Phi Arrhenius parameters</t>
        </is>
      </c>
      <c r="D6" s="5" t="inlineStr">
        <is>
          <t>76</t>
        </is>
      </c>
      <c r="E6" s="1" t="n"/>
    </row>
    <row r="7" ht="16" customHeight="1">
      <c r="A7" s="1" t="n"/>
      <c r="B7" s="5" t="inlineStr">
        <is>
          <t>2 — Metals_SurfKin</t>
        </is>
      </c>
      <c r="C7" s="5" t="inlineStr">
        <is>
          <t>Grant 1988 surface kinetics (3 surface conditions)</t>
        </is>
      </c>
      <c r="D7" s="5" t="inlineStr">
        <is>
          <t>3</t>
        </is>
      </c>
      <c r="E7" s="1" t="n"/>
    </row>
    <row r="8" ht="16" customHeight="1">
      <c r="A8" s="1" t="n"/>
      <c r="B8" s="5" t="inlineStr">
        <is>
          <t>3 — Oxides_Transport</t>
        </is>
      </c>
      <c r="C8" s="5" t="inlineStr">
        <is>
          <t>Oxide layer transport parameters (D_ox, K_ox, Phi_ox)</t>
        </is>
      </c>
      <c r="D8" s="5" t="inlineStr">
        <is>
          <t>10</t>
        </is>
      </c>
      <c r="E8" s="1" t="n"/>
    </row>
    <row r="9" ht="18" customHeight="1">
      <c r="A9" s="1" t="n"/>
      <c r="B9" s="6" t="inlineStr">
        <is>
          <t>Key Notes</t>
        </is>
      </c>
      <c r="C9" s="5" t="inlineStr">
        <is>
          <t>Swansiger 1979 + Yamawaki 1989 surface kinetics</t>
        </is>
      </c>
      <c r="D9" s="5" t="inlineStr">
        <is>
          <t>8</t>
        </is>
      </c>
      <c r="E9" s="1" t="n"/>
    </row>
    <row r="10" ht="22" customHeight="1">
      <c r="A10" s="1" t="n"/>
      <c r="B10" s="7" t="inlineStr">
        <is>
          <t>Metal surface kinetics available ONLY from Grant 1988 (316 steel, H2). No Hastelloy-specific data exists.</t>
        </is>
      </c>
      <c r="C10" s="5" t="inlineStr">
        <is>
          <t>Full bibliography (19 references)</t>
        </is>
      </c>
      <c r="D10" s="5" t="inlineStr">
        <is>
          <t>19</t>
        </is>
      </c>
      <c r="E10" s="1" t="n"/>
    </row>
    <row r="11" ht="16" customHeight="1">
      <c r="A11" s="1" t="n"/>
      <c r="B11" s="5" t="inlineStr">
        <is>
          <t>6 — Metals_Bulk_H2</t>
        </is>
      </c>
      <c r="C11" s="5" t="inlineStr">
        <is>
          <t>All 76 entries scaled to H₂ equivalent (green=scaled, grey=unchanged, white=native H₂)</t>
        </is>
      </c>
      <c r="D11" s="5" t="inlineStr">
        <is>
          <t>76</t>
        </is>
      </c>
      <c r="E11" s="1" t="n"/>
    </row>
    <row r="12" ht="16" customHeight="1">
      <c r="A12" s="1" t="n"/>
      <c r="B12" s="5" t="inlineStr">
        <is>
          <t>7 — Isotope_Scaling_Method</t>
        </is>
      </c>
      <c r="C12" s="5" t="inlineStr">
        <is>
          <t>Full methodology: derivation, scaling table, ZPE validity, Hastelloy N values, thesis text</t>
        </is>
      </c>
      <c r="D12" s="5" t="inlineStr">
        <is>
          <t>—</t>
        </is>
      </c>
      <c r="E12" s="1" t="n"/>
    </row>
    <row r="13" ht="22" customHeight="1">
      <c r="A13" s="1" t="n"/>
      <c r="B13" s="7" t="inlineStr">
        <is>
          <t>Hastelloy N bulk: Phi only from Rohrig 1975 / Strehlow 1974. D and Ks not separated.</t>
        </is>
      </c>
      <c r="C13" s="1" t="n"/>
      <c r="D13" s="1" t="n"/>
      <c r="E13" s="1" t="n"/>
    </row>
    <row r="14" ht="22" customHeight="1">
      <c r="A14" s="1" t="n"/>
      <c r="B14" s="7" t="inlineStr">
        <is>
          <t>Yamawaki 1989 kR units = cm^4/s (recombination coefficient), NOT mol/m2/s/Pa. Different physical quantity.</t>
        </is>
      </c>
      <c r="C14" s="1" t="n"/>
      <c r="D14" s="1" t="n"/>
      <c r="E14" s="1" t="n"/>
    </row>
    <row r="15">
      <c r="A15" s="1" t="n"/>
      <c r="B15" s="1" t="n"/>
      <c r="C15" s="1" t="n"/>
      <c r="D15" s="1" t="n"/>
      <c r="E15" s="1" t="n"/>
    </row>
    <row r="16">
      <c r="A16" s="1" t="n"/>
      <c r="B16" s="1" t="n"/>
      <c r="C16" s="1" t="n"/>
      <c r="D16" s="1" t="n"/>
      <c r="E16" s="1" t="n"/>
    </row>
    <row r="17">
      <c r="A17" s="1" t="n"/>
      <c r="B17" s="1" t="n"/>
      <c r="C17" s="1" t="n"/>
      <c r="D17" s="1" t="n"/>
      <c r="E17" s="1" t="n"/>
    </row>
    <row r="18">
      <c r="A18" s="1" t="n"/>
      <c r="B18" s="1" t="n"/>
      <c r="C18" s="1" t="n"/>
      <c r="D18" s="1" t="n"/>
      <c r="E18" s="1" t="n"/>
    </row>
    <row r="19">
      <c r="A19" s="1" t="n"/>
      <c r="B19" s="1" t="n"/>
      <c r="C19" s="1" t="n"/>
      <c r="D19" s="1" t="n"/>
      <c r="E19" s="1" t="n"/>
    </row>
    <row r="20">
      <c r="A20" s="1" t="n"/>
      <c r="B20" s="1" t="n"/>
      <c r="C20" s="1" t="n"/>
      <c r="D20" s="1" t="n"/>
      <c r="E20" s="1" t="n"/>
    </row>
    <row r="21">
      <c r="A21" s="1" t="n"/>
      <c r="B21" s="1" t="n"/>
      <c r="C21" s="1" t="n"/>
      <c r="D21" s="1" t="n"/>
      <c r="E21" s="1" t="n"/>
    </row>
    <row r="22">
      <c r="A22" s="1" t="n"/>
      <c r="B22" s="1" t="n"/>
      <c r="C22" s="1" t="n"/>
      <c r="D22" s="1" t="n"/>
      <c r="E22" s="1" t="n"/>
    </row>
    <row r="23">
      <c r="A23" s="1" t="n"/>
      <c r="B23" s="1" t="n"/>
      <c r="C23" s="1" t="n"/>
      <c r="D23" s="1" t="n"/>
      <c r="E23" s="1" t="n"/>
    </row>
    <row r="24">
      <c r="A24" s="1" t="n"/>
      <c r="B24" s="1" t="n"/>
      <c r="C24" s="1" t="n"/>
      <c r="D24" s="1" t="n"/>
      <c r="E24" s="1" t="n"/>
    </row>
    <row r="25">
      <c r="A25" s="1" t="n"/>
      <c r="B25" s="1" t="n"/>
      <c r="C25" s="1" t="n"/>
      <c r="D25" s="1" t="n"/>
      <c r="E25" s="1" t="n"/>
    </row>
    <row r="26">
      <c r="A26" s="1" t="n"/>
      <c r="B26" s="1" t="n"/>
      <c r="C26" s="1" t="n"/>
      <c r="D26" s="1" t="n"/>
      <c r="E26" s="1" t="n"/>
    </row>
    <row r="27">
      <c r="A27" s="1" t="n"/>
      <c r="B27" s="1" t="n"/>
      <c r="C27" s="1" t="n"/>
      <c r="D27" s="1" t="n"/>
      <c r="E27" s="1" t="n"/>
    </row>
    <row r="28">
      <c r="A28" s="1" t="n"/>
      <c r="B28" s="1" t="n"/>
      <c r="C28" s="1" t="n"/>
      <c r="D28" s="1" t="n"/>
      <c r="E28" s="1" t="n"/>
    </row>
    <row r="29">
      <c r="A29" s="1" t="n"/>
      <c r="B29" s="1" t="n"/>
      <c r="C29" s="1" t="n"/>
      <c r="D29" s="1" t="n"/>
      <c r="E29" s="1" t="n"/>
    </row>
    <row r="31" ht="22" customHeight="1">
      <c r="B31" s="148" t="inlineStr">
        <is>
          <t>Sheet-by-Sheet User Guide</t>
        </is>
      </c>
    </row>
    <row r="32" ht="20" customHeight="1">
      <c r="B32" s="64" t="inlineStr">
        <is>
          <t>What each sheet contains, how to use it, and what not to do with it. Read top-to-bottom before using the file for the first time.</t>
        </is>
      </c>
    </row>
    <row r="33" ht="10" customHeight="1"/>
    <row r="34" ht="28" customHeight="1">
      <c r="B34" s="10" t="inlineStr">
        <is>
          <t>Sheet</t>
        </is>
      </c>
      <c r="C34" s="37" t="inlineStr">
        <is>
          <t>Purpose</t>
        </is>
      </c>
      <c r="D34" s="86" t="inlineStr">
        <is>
          <t>How to use it</t>
        </is>
      </c>
      <c r="E34" s="88" t="inlineStr">
        <is>
          <t>Key caveats / what NOT to do</t>
        </is>
      </c>
    </row>
    <row r="35" ht="100" customHeight="1">
      <c r="B35" s="149" t="inlineStr">
        <is>
          <t>Overview</t>
        </is>
      </c>
      <c r="C35" s="150" t="inlineStr">
        <is>
          <t>Cover page and navigation guide.</t>
        </is>
      </c>
      <c r="D35" s="150" t="inlineStr">
        <is>
          <t>Start here every time you open the file. Read the 5 amber warning notes before pulling any numbers into your model — they flag the most critical data gaps and known inconsistencies in the database.</t>
        </is>
      </c>
      <c r="E35" s="151" t="inlineStr">
        <is>
          <t>Do not skip the warning notes. They document things that look correct on the surface but will produce wrong model outputs if misunderstood (e.g. Al₂O₃ vs Cr₂O₃ confusion, Yamawaki unit mismatch).</t>
        </is>
      </c>
    </row>
    <row r="36" ht="100" customHeight="1">
      <c r="B36" s="152" t="inlineStr">
        <is>
          <t>Metals_Bulk</t>
        </is>
      </c>
      <c r="C36" s="153" t="inlineStr">
        <is>
          <t>Unmodified literature archive. 76 entries in their original gas (H₂, D₂, T₂).</t>
        </is>
      </c>
      <c r="D36" s="153" t="inlineStr">
        <is>
          <t>Use for literature tracing and citation checking. Each row is one published entry exactly as reported. Cross-reference keys here with the Sources sheet to find the original paper. 26 columns cover identity, temperature range, diffusion (D_ref, E_D, D_0), solubility (Ks_ref, H_s, K_s0), permeability (Phi_ref, Q_p, Phi_0), and Grant 1988 surface kinetics.</t>
        </is>
      </c>
      <c r="E36" s="154" t="inlineStr">
        <is>
          <t>Do NOT use this sheet to feed your model directly — values are in mixed isotopes (H₂, D₂, T₂). Dashes mean the original source did not report that parameter, not that it is zero.</t>
        </is>
      </c>
    </row>
    <row r="37" ht="100" customHeight="1">
      <c r="B37" s="149" t="inlineStr">
        <is>
          <t>Metals_SurfKin</t>
        </is>
      </c>
      <c r="C37" s="150" t="inlineStr">
        <is>
          <t>Grant 1988 surface kinetics — the only source in the database with measured Arrhenius k1 for a metal surface.</t>
        </is>
      </c>
      <c r="D37" s="150" t="inlineStr">
        <is>
          <t>3 rows, one per surface condition: clean, partially cleaned, oxidized. Use the oxidized row as the analog for Hastelloy X/N with native surface oxide. Columns give k1_ref at 965 K, E_k1, and k1_0 in mol/m²/s/Pa. Extrapolate to your operating T using Arrhenius.</t>
        </is>
      </c>
      <c r="E37" s="151" t="inlineStr">
        <is>
          <t>This is 316 steel, not Hastelloy. Document it as an analog in your methods section. Do not treat it as a direct measurement for your system.</t>
        </is>
      </c>
    </row>
    <row r="38" ht="100" customHeight="1">
      <c r="B38" s="152" t="inlineStr">
        <is>
          <t>Oxides_Transport</t>
        </is>
      </c>
      <c r="C38" s="153" t="inlineStr">
        <is>
          <t>10 oxide layer entries covering Cr₂O₃ and Al₂O₃ transport properties from measurements and DFT.</t>
        </is>
      </c>
      <c r="D38" s="153" t="inlineStr">
        <is>
          <t>Read the Data Tier column first (1/2/3/DFT) before using any value. Tier 1 = back-calculated from direct measurements. Tier 3 = PRF only, no Phi extractable. DFT = perfect bulk crystal, not a coating. The Al₂O₃ row (T_ref = 1623 K) is what your sensitivity CSV currently uses. The Cr₂O₃ row (T_ref = 673 K) is a completely different system at a different temperature.</t>
        </is>
      </c>
      <c r="E38" s="154" t="inlineStr">
        <is>
          <t>Do not mix Cr₂O₃ and Al₂O₃ Arrhenius parameters in the same model layer. Do not extrapolate Al₂O₃ values far below 1200 K without acknowledging that grain-boundary diffusion may dominate at lower temperatures. Medasani 2019 (DFT row) contains ion diffusion, NOT H diffusion — never use those D values as H transport parameters.</t>
        </is>
      </c>
    </row>
    <row r="39" ht="100" customHeight="1">
      <c r="B39" s="149" t="inlineStr">
        <is>
          <t>Oxides_SurfKin</t>
        </is>
      </c>
      <c r="C39" s="150" t="inlineStr">
        <is>
          <t>Surface kinetics data for oxide and impurity-contaminated surfaces (Swansiger 1979 + Yamawaki 1989).</t>
        </is>
      </c>
      <c r="D39" s="150" t="inlineStr">
        <is>
          <t>Read the Parameter Type column before using any row. Swansiger entries report composite Q_p or bare Phi_0 — not k_diss. Yamawaki entries report kR in cm⁴/s, which is the recombination coefficient, a physically different quantity from k_diss. Use the Notes column — every Swansiger oxidized row explicitly states that k_diss is NOT extractable.</t>
        </is>
      </c>
      <c r="E39" s="151" t="inlineStr">
        <is>
          <t>Do not convert kR (cm⁴/s) to k_diss (mol/m²/s/Pa) by a simple unit conversion — they are different physical quantities. Do not extract standalone k_diss from Swansiger composite permeation data — the mechanism is surface-kinetics limited, not diffusion-limited, making series resistance back-calculation physically invalid.</t>
        </is>
      </c>
    </row>
    <row r="40" ht="100" customHeight="1">
      <c r="B40" s="152" t="inlineStr">
        <is>
          <t>Sources</t>
        </is>
      </c>
      <c r="C40" s="153" t="inlineStr">
        <is>
          <t>Full bibliography. 19 references covering all data in the workbook.</t>
        </is>
      </c>
      <c r="D40" s="153" t="inlineStr">
        <is>
          <t>Use when you need to pull the original paper for any entry. Citation Key here matches the Source field in Metals_Bulk and Oxides sheets. DOI column gives direct links. Data Content column summarises exactly what each paper contributes to the database.</t>
        </is>
      </c>
      <c r="E40" s="154" t="inlineStr">
        <is>
          <t>Do not cite this workbook itself as a primary source — always cite the original papers listed here. The workbook is a compiled secondary reference.</t>
        </is>
      </c>
    </row>
    <row r="41" ht="100" customHeight="1">
      <c r="B41" s="149" t="inlineStr">
        <is>
          <t>Metals_Bulk_H2</t>
        </is>
      </c>
      <c r="C41" s="150" t="inlineStr">
        <is>
          <t>Working data sheet. Same 76 entries as Metals_Bulk but all converted to H₂ equivalents via isotope scaling.</t>
        </is>
      </c>
      <c r="D41" s="150" t="inlineStr">
        <is>
          <t>This is the sheet you copy values from for your model or sensitivity study. Colour code: green bold = scaled value (×√2 or ×√3), grey italic = unchanged parameter (E_D, Q_p, H_s, Ks), white row = native H₂ entry. Scale Factor and Scaling Applied columns record the exact multiplier used for each row so you can audit any value.</t>
        </is>
      </c>
      <c r="E41" s="151" t="inlineStr">
        <is>
          <t>Do not mix values from Metals_Bulk and Metals_Bulk_H2 in the same analysis — you will have inconsistent isotopes. Do not re-apply isotope scaling to values from this sheet — it has already been done.</t>
        </is>
      </c>
    </row>
    <row r="42" ht="100" customHeight="1">
      <c r="B42" s="152" t="inlineStr">
        <is>
          <t>Isotope_Scaling_Method</t>
        </is>
      </c>
      <c r="C42" s="153" t="inlineStr">
        <is>
          <t>Scientific justification for the H₂ conversion applied in Metals_Bulk_H2. 7 numbered sections.</t>
        </is>
      </c>
      <c r="D42" s="153" t="inlineStr">
        <is>
          <t>When your committee asks how you handled D₂ and T₂ data, point them here. Section 7 contains a ready-to-paste thesis methods paragraph. Section 4 (ZPE validity table) shows why solubility Ks was left unscaled. Section 6 gives the Hastelloy N recommended values after scaling.</t>
        </is>
      </c>
      <c r="E42" s="154" t="inlineStr">
        <is>
          <t>Do not use this sheet to pull numerical values — it is documentation only. The actual scaled values are in Metals_Bulk_H2.</t>
        </is>
      </c>
    </row>
    <row r="43" ht="100" customHeight="1">
      <c r="B43" s="149" t="inlineStr">
        <is>
          <t>NiAlloy_Parameter_Analysis</t>
        </is>
      </c>
      <c r="C43" s="150" t="inlineStr">
        <is>
          <t>29 Ni-base entries evaluated at 800 K. Default values and sensitivity ranges for your model parameters. Full methodology documentation.</t>
        </is>
      </c>
      <c r="D43" s="150" t="inlineStr">
        <is>
          <t>Section 1 (rows 5–11) is the table you use: default, units, sensitivity range lo/hi, full range, n, and caveat per parameter. Use the Hastelloy N specific Phi row (pink highlight) for Has-N specific runs rather than the all-Ni-base mean. Section 2 is the self-consistency check (E_D + H_s = Q_p). Sections M1–M7 (below row 100) document every analysis decision for reproducibility and thesis audit.</t>
        </is>
      </c>
      <c r="E43" s="151" t="inlineStr">
        <is>
          <t>D_ref, E_D, Ks_ref, H_s defaults have no Hastelloy N data — they come from 10 NiCr analogs (Schmidt 1985). The caveat column in Section 1 flags this for each parameter. If you use analog D/Ks alongside the Has-N Q_p = 77 948 J/mol, verify that E_D + H_s = Q_p, otherwise your parameter set is internally inconsistent.</t>
        </is>
      </c>
    </row>
    <row r="44" ht="12" customHeight="1"/>
    <row r="45" ht="18" customHeight="1">
      <c r="B45" s="155" t="inlineStr">
        <is>
          <t>Recommended Workflow for Sensitivity Study</t>
        </is>
      </c>
    </row>
    <row r="46" ht="80" customHeight="1">
      <c r="B46" s="156" t="inlineStr">
        <is>
          <t>① Open Overview → read the 5 warning notes.  ② Go to Metals_Bulk_H2 → find your material entry → confirm gas and scale factor columns.  ③ Pull default values and sensitivity ranges from NiAlloy_Parameter_Analysis Section 1.  ④ For oxide parameters: check Oxides_Transport Data Tier column before using any value.  ⑤ For surface kinetics: use Metals_SurfKin (oxidized row) for metal surface analog. Accept that oxide surface k_diss has no measured value anywhere in the database.  ⑥ Verify E_D + H_s ≈ Q_p for your chosen parameter set (NiAlloy_Parameter_Analysis Section 2).  ⑦ Trace every value back to its source paper using the Sources sheet. Document which values are direct measurements vs chemical analogs vs DFT estimates.</t>
        </is>
      </c>
    </row>
    <row r="47" ht="16" customHeight="1">
      <c r="B47" s="5" t="inlineStr">
        <is>
          <t>8 — Chen2011_RawData</t>
        </is>
      </c>
      <c r="C47" s="5" t="inlineStr">
        <is>
          <t>All raw data from Chen et al. 2011 Cr₂O₃ DFT paper</t>
        </is>
      </c>
      <c r="D47" s="5" t="inlineStr">
        <is>
          <t>Added separately</t>
        </is>
      </c>
    </row>
    <row r="48" ht="16" customHeight="1">
      <c r="B48" s="5" t="inlineStr">
        <is>
          <t>9 — Nemanic2023_RawData</t>
        </is>
      </c>
      <c r="C48" s="5" t="inlineStr">
        <is>
          <t>All raw data from Nemanic et al. 2023 Cr permeation paper</t>
        </is>
      </c>
      <c r="D48" s="5" t="inlineStr">
        <is>
          <t>Added separately</t>
        </is>
      </c>
    </row>
    <row r="49" ht="16" customHeight="1">
      <c r="B49" s="5" t="inlineStr">
        <is>
          <t>10 — Nemanic2019_RawData</t>
        </is>
      </c>
      <c r="C49" s="5" t="inlineStr">
        <is>
          <t>All data from Nemanic 2019 HPB review (Tables 1+2, equations, PRF compilation)</t>
        </is>
      </c>
      <c r="D49" s="5" t="inlineStr">
        <is>
          <t>Review — no primary data</t>
        </is>
      </c>
    </row>
    <row r="50" ht="16" customHeight="1">
      <c r="B50" s="5" t="inlineStr">
        <is>
          <t>11 — Stover1986_RawData</t>
        </is>
      </c>
      <c r="C50" s="5" t="inlineStr">
        <is>
          <t>All data from Stover 1986 Cr/Cr₂O₃ permeation paper (Q_p range 100-234 kJ/mol)</t>
        </is>
      </c>
      <c r="D50" s="5" t="inlineStr">
        <is>
          <t>Primary papers</t>
        </is>
      </c>
    </row>
    <row r="51" ht="16" customHeight="1">
      <c r="B51" s="5" t="inlineStr">
        <is>
          <t>12 — Levchuk2004_RawData</t>
        </is>
      </c>
      <c r="C51" s="5" t="inlineStr">
        <is>
          <t>All data from Levchuk 2004 α-Al₂O₃ on Eurofer (Q_p≈50 kJ/mol, PRF≥10³, 3 T points)</t>
        </is>
      </c>
      <c r="D51" s="5" t="inlineStr">
        <is>
          <t>Primary papers</t>
        </is>
      </c>
    </row>
    <row r="52" ht="16" customHeight="1">
      <c r="B52" s="5" t="inlineStr">
        <is>
          <t>13 — Medasani2019_RawData</t>
        </is>
      </c>
      <c r="C52" s="5" t="inlineStr">
        <is>
          <t>Cr/O ION self-diffusion DFT paper (Tables 1-3, defect energies, bulk properties)</t>
        </is>
      </c>
      <c r="D52" s="5" t="inlineStr">
        <is>
          <t>ION diffusion only — NOT H</t>
        </is>
      </c>
    </row>
    <row r="53" ht="16" customHeight="1">
      <c r="B53" s="5" t="inlineStr">
        <is>
          <t>14 — PerngAltstetter1986_RawData</t>
        </is>
      </c>
      <c r="C53" s="5" t="inlineStr">
        <is>
          <t>Austenitic SS 301/302/304/310 + AL29-4-2 ferritic; annealed + deformed; H₂ permeation Arrhenius</t>
        </is>
      </c>
      <c r="D53" s="5" t="inlineStr">
        <is>
          <t>Primary paper</t>
        </is>
      </c>
    </row>
    <row r="54" ht="16" customHeight="1">
      <c r="B54" s="5" t="inlineStr">
        <is>
          <t>15 — Grant1988_RawData</t>
        </is>
      </c>
      <c r="C54" s="5" t="inlineStr">
        <is>
          <t>Grant 1988 316 SS: D, Pm, k1 (3 surface conditions). Pressure modulation technique.</t>
        </is>
      </c>
      <c r="D54" s="5" t="inlineStr">
        <is>
          <t>Primary paper — data already in Metals_Bulk row 39 and Metals_SurfKin</t>
        </is>
      </c>
    </row>
    <row r="55" ht="16" customHeight="1">
      <c r="B55" s="5" t="inlineStr">
        <is>
          <t>16 — Yamawaki1989_RawData</t>
        </is>
      </c>
      <c r="C55" s="5" t="inlineStr">
        <is>
          <t>k_R (recombination) for 304 SS, V, Ni vs surface O/S (Table 2, Fig 1-3). T=773K.</t>
        </is>
      </c>
      <c r="D55" s="5" t="inlineStr">
        <is>
          <t>Primary papers — data in Oxides_SurfKin</t>
        </is>
      </c>
    </row>
    <row r="56" ht="16" customHeight="1">
      <c r="B56" s="5" t="inlineStr">
        <is>
          <t>17 — SwansigerBastasz1979_RawData</t>
        </is>
      </c>
      <c r="C56" s="5" t="inlineStr">
        <is>
          <t>Bulk Arrhenius + oxide PRF for 309S/21-6-9/A-286. Upstream surface rate-controlling.</t>
        </is>
      </c>
      <c r="D56" s="5" t="inlineStr">
        <is>
          <t>Primary papers — data in Oxides_SurfKin</t>
        </is>
      </c>
    </row>
    <row r="57" ht="16" customHeight="1">
      <c r="B57" s="5" t="inlineStr">
        <is>
          <t>18 — MetalSurfKin_Analysis</t>
        </is>
      </c>
      <c r="C57" s="5" t="inlineStr">
        <is>
          <t>Default k₁ + sensitivity ranges for metal surface kinetics (Grant 1988, 3 conditions)</t>
        </is>
      </c>
      <c r="D57" s="5" t="inlineStr">
        <is>
          <t>Parameter analysis sheet</t>
        </is>
      </c>
    </row>
    <row r="58" ht="16" customHeight="1">
      <c r="B58" s="5" t="inlineStr">
        <is>
          <t>19 — Cr2O3_Transport_Analysis</t>
        </is>
      </c>
      <c r="C58" s="5" t="inlineStr">
        <is>
          <t>Cr₂O₃ transport defaults + Q_p sensitivity (70–234 kJ/mol range)</t>
        </is>
      </c>
      <c r="D58" s="5" t="inlineStr">
        <is>
          <t>Parameter analysis sheet</t>
        </is>
      </c>
    </row>
    <row r="59" ht="16" customHeight="1">
      <c r="B59" s="5" t="inlineStr">
        <is>
          <t>20 — Al2O3_Transport_Analysis</t>
        </is>
      </c>
      <c r="C59" s="5" t="inlineStr">
        <is>
          <t>Al₂O₃ transport defaults + sintered vs deposited film comparison</t>
        </is>
      </c>
      <c r="D59" s="5" t="inlineStr">
        <is>
          <t>Parameter analysis sheet</t>
        </is>
      </c>
    </row>
    <row r="60" ht="16" customHeight="1">
      <c r="B60" s="5" t="inlineStr">
        <is>
          <t>21 — OxideSurfKin_Analysis</t>
        </is>
      </c>
      <c r="C60" s="5" t="inlineStr">
        <is>
          <t>Oxide surface k₁ defaults + sensitivity (Grant oxidized analog only)</t>
        </is>
      </c>
      <c r="D60" s="5" t="inlineStr">
        <is>
          <t>Parameter analysis sheet</t>
        </is>
      </c>
    </row>
    <row r="61" ht="16" customHeight="1">
      <c r="B61" s="5" t="inlineStr">
        <is>
          <t>22 — Young1997_RawData</t>
        </is>
      </c>
      <c r="C61" s="5" t="inlineStr">
        <is>
          <t>H trap binding energies by TDS: M₇C₃ ~55 kJ/mol; M₂₃C₆ 19–28 kJ/mol in A600/E-182</t>
        </is>
      </c>
      <c r="D61" s="5" t="inlineStr">
        <is>
          <t>Microstructure/Trapping — updates Carbides placeholder in trapping model</t>
        </is>
      </c>
    </row>
    <row r="62" ht="16" customHeight="1">
      <c r="B62" s="5" t="inlineStr">
        <is>
          <t>23 -- Tateyama2003_RawData</t>
        </is>
      </c>
      <c r="C62" s="5" t="inlineStr">
        <is>
          <t>DFT H-vacancy in alpha-Fe: VH1/VH2=0.60 eV; VH3=0.40 eV. bcc Fe only -- NOT Ni.</t>
        </is>
      </c>
      <c r="D62" s="5" t="inlineStr">
        <is>
          <t>Trapping reference (Fe methodology) -- Ni value ~0.43 eV from separate source</t>
        </is>
      </c>
    </row>
    <row r="63" ht="16" customHeight="1">
      <c r="B63" s="5" t="inlineStr">
        <is>
          <t>24 -- Jain2026_RawData</t>
        </is>
      </c>
      <c r="C63" s="5" t="inlineStr">
        <is>
          <t>DFT+KMC+FEM multiscale H diffusion in Ni: Sigma5 fast pathway+trap; Sigma3 barrier. Ea=0.37 eV.</t>
        </is>
      </c>
      <c r="D63" s="5" t="inlineStr">
        <is>
          <t>Microstructure/Trapping reference -- updates grain_size, dislocation_density, carbide parameters</t>
        </is>
      </c>
    </row>
    <row r="64" ht="16" customHeight="1">
      <c r="B64" s="5" t="inlineStr">
        <is>
          <t>25 -- Zhu2021_RawData</t>
        </is>
      </c>
      <c r="C64" s="5" t="inlineStr">
        <is>
          <t>Hastelloy-N creep EBSD at 973K: grain size 50-150 um, GND density, M6C carbides, Cr2O3 at vacuum.</t>
        </is>
      </c>
      <c r="D64" s="5" t="inlineStr">
        <is>
          <t>Microstructure/Trapping reference -- updates grain_size, dislocation_density, carbide parameters</t>
        </is>
      </c>
    </row>
    <row r="65" ht="16" customHeight="1">
      <c r="B65" s="5" t="inlineStr">
        <is>
          <t>26 -- Lu2022_RawData</t>
        </is>
      </c>
      <c r="C65" s="5" t="inlineStr">
        <is>
          <t>TDS on Alloy 625: dislocation E_trap=17-21 kJ/mol; GB+carbide E_trap=25-27 kJ/mol; Ea=42-48 kJ/mol</t>
        </is>
      </c>
      <c r="D65" s="5" t="inlineStr">
        <is>
          <t>Trapping parameters -- updates dislocation/GB binding energies</t>
        </is>
      </c>
    </row>
    <row r="66" ht="16" customHeight="1">
      <c r="B66" s="5" t="inlineStr">
        <is>
          <t>27 -- Zhou2016_RawData</t>
        </is>
      </c>
      <c r="C66" s="5" t="inlineStr">
        <is>
          <t>DFT chemomechanical formula for H trapping at FCC GBs. Sigma3=no trapping; Sigma5=trapping.</t>
        </is>
      </c>
      <c r="D66" s="5" t="inlineStr">
        <is>
          <t>Trapping parameters -- updates dislocation/GB binding energies</t>
        </is>
      </c>
    </row>
    <row r="67" ht="16" customHeight="1">
      <c r="B67" s="5" t="inlineStr">
        <is>
          <t>30 -- Microstructure_Analysis</t>
        </is>
      </c>
      <c r="C67" s="5" t="inlineStr">
        <is>
          <t>Default values + sensitivity for grain structure and all 4 trap types. Updates all MICROSTRUCTURE dict placeholders.</t>
        </is>
      </c>
      <c r="D67" s="5" t="inlineStr">
        <is>
          <t>Parameter analysis sheet -- primary reference for trapping model inputs</t>
        </is>
      </c>
    </row>
  </sheetData>
  <mergeCells count="4">
    <mergeCell ref="B31:E31"/>
    <mergeCell ref="B46:E46"/>
    <mergeCell ref="B45:E45"/>
    <mergeCell ref="B32:E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83"/>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38" customWidth="1" min="2" max="2"/>
    <col width="14" customWidth="1" min="3" max="3"/>
    <col width="14" customWidth="1" min="4" max="4"/>
    <col width="14" customWidth="1" min="5" max="5"/>
    <col width="14"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4" customWidth="1" min="16" max="16"/>
    <col width="18" customWidth="1" min="17" max="17"/>
    <col width="18" customWidth="1" min="18" max="18"/>
    <col width="14" customWidth="1" min="19" max="19"/>
    <col width="18" customWidth="1" min="20" max="20"/>
    <col width="18" customWidth="1" min="21" max="21"/>
    <col width="14" customWidth="1" min="22" max="22"/>
    <col width="18" customWidth="1" min="23" max="23"/>
    <col width="18" customWidth="1" min="24" max="24"/>
    <col width="14" customWidth="1" min="25" max="25"/>
    <col width="38" customWidth="1" min="26" max="26"/>
  </cols>
  <sheetData>
    <row r="1" ht="22" customHeight="1">
      <c r="A1" s="8" t="inlineStr">
        <is>
          <t>Metal Bulk Transport Properties — Literature Database</t>
        </is>
      </c>
    </row>
    <row r="2" ht="14" customHeight="1">
      <c r="A2" s="9" t="inlineStr">
        <is>
          <t>Sources: San Marchi 2007 | Forcey 1988 | Strehlow &amp; Savage 1974 | Rohrig 1975 | Grant 1988 | Schmidt 1985 | Perng &amp; Altstetter | Brass &amp; Chene | Louthan | JAERI 2002</t>
        </is>
      </c>
    </row>
    <row r="3" ht="30" customHeight="1">
      <c r="A3" s="10" t="inlineStr">
        <is>
          <t>Material Key</t>
        </is>
      </c>
      <c r="B3" s="10" t="inlineStr">
        <is>
          <t>Reference</t>
        </is>
      </c>
      <c r="C3" s="10" t="inlineStr">
        <is>
          <t>Gas</t>
        </is>
      </c>
      <c r="D3" s="10" t="inlineStr">
        <is>
          <t>T_ref (K)</t>
        </is>
      </c>
      <c r="E3" s="10" t="inlineStr">
        <is>
          <t>T_min (K)</t>
        </is>
      </c>
      <c r="F3" s="10" t="inlineStr">
        <is>
          <t>T_max (K)</t>
        </is>
      </c>
      <c r="G3" s="10" t="inlineStr">
        <is>
          <t>D_ref (m²/s)</t>
        </is>
      </c>
      <c r="H3" s="10" t="inlineStr">
        <is>
          <t>E_D (J/mol)</t>
        </is>
      </c>
      <c r="I3" s="10" t="inlineStr">
        <is>
          <t>D_0 (m²/s)</t>
        </is>
      </c>
      <c r="J3" s="10" t="inlineStr">
        <is>
          <t>Ks_ref (mol/m³/Pa⁰·⁵)</t>
        </is>
      </c>
      <c r="K3" s="10" t="inlineStr">
        <is>
          <t>H_s (J/mol)</t>
        </is>
      </c>
      <c r="L3" s="10" t="inlineStr">
        <is>
          <t>K_s0 (mol/m³/Pa⁰·⁵)</t>
        </is>
      </c>
      <c r="M3" s="10" t="inlineStr">
        <is>
          <t>Phi_ref (mol/m/s/Pa⁰·⁵)</t>
        </is>
      </c>
      <c r="N3" s="10" t="inlineStr">
        <is>
          <t>Q_p (J/mol)</t>
        </is>
      </c>
      <c r="O3" s="10" t="inlineStr">
        <is>
          <t>Phi_0 (mol/m/s/Pa⁰·⁵)</t>
        </is>
      </c>
      <c r="P3" s="10" t="inlineStr">
        <is>
          <t>Thickness (m)</t>
        </is>
      </c>
      <c r="Q3" s="10" t="inlineStr">
        <is>
          <t>k1_ref_clean (mol/m²/s/Pa)</t>
        </is>
      </c>
      <c r="R3" s="10" t="inlineStr">
        <is>
          <t>E_k1_clean (J/mol)</t>
        </is>
      </c>
      <c r="S3" s="10" t="inlineStr">
        <is>
          <t>k1_0_clean</t>
        </is>
      </c>
      <c r="T3" s="10" t="inlineStr">
        <is>
          <t>k1_ref_partial (mol/m²/s/Pa)</t>
        </is>
      </c>
      <c r="U3" s="10" t="inlineStr">
        <is>
          <t>E_k1_partial (J/mol)</t>
        </is>
      </c>
      <c r="V3" s="10" t="inlineStr">
        <is>
          <t>k1_0_partial</t>
        </is>
      </c>
      <c r="W3" s="10" t="inlineStr">
        <is>
          <t>k1_ref_oxidized (mol/m²/s/Pa)</t>
        </is>
      </c>
      <c r="X3" s="10" t="inlineStr">
        <is>
          <t>E_k1_oxidized (J/mol)</t>
        </is>
      </c>
      <c r="Y3" s="10" t="inlineStr">
        <is>
          <t>k1_0_oxidized</t>
        </is>
      </c>
      <c r="Z3" s="10" t="inlineStr">
        <is>
          <t>Notes</t>
        </is>
      </c>
    </row>
    <row r="4" ht="28" customHeight="1">
      <c r="A4" s="264" t="inlineStr">
        <is>
          <t>Austenitic_SS_1</t>
        </is>
      </c>
      <c r="B4" s="264" t="inlineStr">
        <is>
          <t>San Marchi 2007, Table 1. doi:10.1016/j.ijhydene.2006.05.008</t>
        </is>
      </c>
      <c r="C4" s="264" t="inlineStr">
        <is>
          <t>H₂</t>
        </is>
      </c>
      <c r="D4" s="12" t="n">
        <v>700</v>
      </c>
      <c r="E4" s="12" t="n">
        <v>423</v>
      </c>
      <c r="F4" s="12" t="n">
        <v>700</v>
      </c>
      <c r="G4" s="13" t="n">
        <v>6.16e-11</v>
      </c>
      <c r="H4" s="12" t="n">
        <v>54000</v>
      </c>
      <c r="I4" s="14" t="inlineStr">
        <is>
          <t>—</t>
        </is>
      </c>
      <c r="J4" s="12" t="n">
        <v>0.06494999999999999</v>
      </c>
      <c r="K4" s="12" t="n">
        <v>5900</v>
      </c>
      <c r="L4" s="14" t="inlineStr">
        <is>
          <t>—</t>
        </is>
      </c>
      <c r="M4" s="13" t="n">
        <v>4.004e-12</v>
      </c>
      <c r="N4" s="14" t="inlineStr">
        <is>
          <t>—</t>
        </is>
      </c>
      <c r="O4" s="14" t="inlineStr">
        <is>
          <t>—</t>
        </is>
      </c>
      <c r="P4" s="14" t="inlineStr">
        <is>
          <t>—</t>
        </is>
      </c>
      <c r="Q4" s="14" t="inlineStr">
        <is>
          <t>—</t>
        </is>
      </c>
      <c r="R4" s="14" t="inlineStr">
        <is>
          <t>—</t>
        </is>
      </c>
      <c r="S4" s="14" t="inlineStr">
        <is>
          <t>—</t>
        </is>
      </c>
      <c r="T4" s="14" t="inlineStr">
        <is>
          <t>—</t>
        </is>
      </c>
      <c r="U4" s="14" t="inlineStr">
        <is>
          <t>—</t>
        </is>
      </c>
      <c r="V4" s="14" t="inlineStr">
        <is>
          <t>—</t>
        </is>
      </c>
      <c r="W4" s="14" t="inlineStr">
        <is>
          <t>—</t>
        </is>
      </c>
      <c r="X4" s="14" t="inlineStr">
        <is>
          <t>—</t>
        </is>
      </c>
      <c r="Y4" s="14" t="inlineStr">
        <is>
          <t>—</t>
        </is>
      </c>
      <c r="Z4" s="15" t="inlineStr">
        <is>
          <t>Austenitic stainless steel, calibrated from Table 1.</t>
        </is>
      </c>
    </row>
    <row r="5" ht="28" customHeight="1">
      <c r="A5" s="262" t="inlineStr">
        <is>
          <t>Austenitic_SS_2</t>
        </is>
      </c>
      <c r="B5" s="262" t="inlineStr">
        <is>
          <t>San Marchi 2007, Table 1. doi:10.1016/j.ijhydene.2006.05.008</t>
        </is>
      </c>
      <c r="C5" s="262" t="inlineStr">
        <is>
          <t>H₂</t>
        </is>
      </c>
      <c r="D5" s="17" t="n">
        <v>700</v>
      </c>
      <c r="E5" s="17" t="n">
        <v>423</v>
      </c>
      <c r="F5" s="17" t="n">
        <v>703</v>
      </c>
      <c r="G5" s="18" t="n">
        <v>5.734e-11</v>
      </c>
      <c r="H5" s="17" t="n">
        <v>53620</v>
      </c>
      <c r="I5" s="14" t="inlineStr">
        <is>
          <t>—</t>
        </is>
      </c>
      <c r="J5" s="17" t="n">
        <v>0.1104</v>
      </c>
      <c r="K5" s="17" t="n">
        <v>8650</v>
      </c>
      <c r="L5" s="14" t="inlineStr">
        <is>
          <t>—</t>
        </is>
      </c>
      <c r="M5" s="18" t="n">
        <v>6.339e-12</v>
      </c>
      <c r="N5" s="14" t="inlineStr">
        <is>
          <t>—</t>
        </is>
      </c>
      <c r="O5" s="14" t="inlineStr">
        <is>
          <t>—</t>
        </is>
      </c>
      <c r="P5" s="14" t="inlineStr">
        <is>
          <t>—</t>
        </is>
      </c>
      <c r="Q5" s="14" t="inlineStr">
        <is>
          <t>—</t>
        </is>
      </c>
      <c r="R5" s="14" t="inlineStr">
        <is>
          <t>—</t>
        </is>
      </c>
      <c r="S5" s="14" t="inlineStr">
        <is>
          <t>—</t>
        </is>
      </c>
      <c r="T5" s="14" t="inlineStr">
        <is>
          <t>—</t>
        </is>
      </c>
      <c r="U5" s="14" t="inlineStr">
        <is>
          <t>—</t>
        </is>
      </c>
      <c r="V5" s="14" t="inlineStr">
        <is>
          <t>—</t>
        </is>
      </c>
      <c r="W5" s="14" t="inlineStr">
        <is>
          <t>—</t>
        </is>
      </c>
      <c r="X5" s="14" t="inlineStr">
        <is>
          <t>—</t>
        </is>
      </c>
      <c r="Y5" s="14" t="inlineStr">
        <is>
          <t>—</t>
        </is>
      </c>
      <c r="Z5" s="19" t="inlineStr">
        <is>
          <t>Austenitic stainless steel, calibrated from Table 1.</t>
        </is>
      </c>
    </row>
    <row r="6" ht="28" customHeight="1">
      <c r="A6" s="264" t="inlineStr">
        <is>
          <t>Austenitic_SS_3</t>
        </is>
      </c>
      <c r="B6" s="264" t="inlineStr">
        <is>
          <t>San Marchi 2007, Table 1. doi:10.1016/j.ijhydene.2006.05.008</t>
        </is>
      </c>
      <c r="C6" s="264" t="inlineStr">
        <is>
          <t>H₂</t>
        </is>
      </c>
      <c r="D6" s="12" t="n">
        <v>623</v>
      </c>
      <c r="E6" s="12" t="n">
        <v>373</v>
      </c>
      <c r="F6" s="12" t="n">
        <v>623</v>
      </c>
      <c r="G6" s="13" t="n">
        <v>1.478e-11</v>
      </c>
      <c r="H6" s="12" t="n">
        <v>49300</v>
      </c>
      <c r="I6" s="14" t="inlineStr">
        <is>
          <t>—</t>
        </is>
      </c>
      <c r="J6" s="12" t="n">
        <v>0.07074</v>
      </c>
      <c r="K6" s="12" t="n">
        <v>6860</v>
      </c>
      <c r="L6" s="14" t="inlineStr">
        <is>
          <t>—</t>
        </is>
      </c>
      <c r="M6" s="13" t="n">
        <v>1.045e-12</v>
      </c>
      <c r="N6" s="14" t="inlineStr">
        <is>
          <t>—</t>
        </is>
      </c>
      <c r="O6" s="14" t="inlineStr">
        <is>
          <t>—</t>
        </is>
      </c>
      <c r="P6" s="14" t="inlineStr">
        <is>
          <t>—</t>
        </is>
      </c>
      <c r="Q6" s="14" t="inlineStr">
        <is>
          <t>—</t>
        </is>
      </c>
      <c r="R6" s="14" t="inlineStr">
        <is>
          <t>—</t>
        </is>
      </c>
      <c r="S6" s="14" t="inlineStr">
        <is>
          <t>—</t>
        </is>
      </c>
      <c r="T6" s="14" t="inlineStr">
        <is>
          <t>—</t>
        </is>
      </c>
      <c r="U6" s="14" t="inlineStr">
        <is>
          <t>—</t>
        </is>
      </c>
      <c r="V6" s="14" t="inlineStr">
        <is>
          <t>—</t>
        </is>
      </c>
      <c r="W6" s="14" t="inlineStr">
        <is>
          <t>—</t>
        </is>
      </c>
      <c r="X6" s="14" t="inlineStr">
        <is>
          <t>—</t>
        </is>
      </c>
      <c r="Y6" s="14" t="inlineStr">
        <is>
          <t>—</t>
        </is>
      </c>
      <c r="Z6" s="15" t="inlineStr">
        <is>
          <t>Austenitic stainless steel, calibrated from Table 1.</t>
        </is>
      </c>
    </row>
    <row r="7" ht="28" customHeight="1">
      <c r="A7" s="262" t="inlineStr">
        <is>
          <t>Austenitic_SS_300series</t>
        </is>
      </c>
      <c r="B7" s="262" t="inlineStr">
        <is>
          <t>San Marchi 2007, Table 3. doi:10.1016/j.ijhydene.2006.05.008</t>
        </is>
      </c>
      <c r="C7" s="262" t="inlineStr">
        <is>
          <t>H₂</t>
        </is>
      </c>
      <c r="D7" s="17" t="n">
        <v>623</v>
      </c>
      <c r="E7" s="17" t="n">
        <v>373</v>
      </c>
      <c r="F7" s="17" t="n">
        <v>623</v>
      </c>
      <c r="G7" s="18" t="n">
        <v>2.69e-11</v>
      </c>
      <c r="H7" s="17" t="n">
        <v>53900</v>
      </c>
      <c r="I7" s="14" t="inlineStr">
        <is>
          <t>—</t>
        </is>
      </c>
      <c r="J7" s="17" t="n">
        <v>0.04322</v>
      </c>
      <c r="K7" s="17" t="n">
        <v>5900</v>
      </c>
      <c r="L7" s="14" t="inlineStr">
        <is>
          <t>—</t>
        </is>
      </c>
      <c r="M7" s="18" t="n">
        <v>1.163e-12</v>
      </c>
      <c r="N7" s="14" t="inlineStr">
        <is>
          <t>—</t>
        </is>
      </c>
      <c r="O7" s="14" t="inlineStr">
        <is>
          <t>—</t>
        </is>
      </c>
      <c r="P7" s="14" t="inlineStr">
        <is>
          <t>—</t>
        </is>
      </c>
      <c r="Q7" s="14" t="inlineStr">
        <is>
          <t>—</t>
        </is>
      </c>
      <c r="R7" s="14" t="inlineStr">
        <is>
          <t>—</t>
        </is>
      </c>
      <c r="S7" s="14" t="inlineStr">
        <is>
          <t>—</t>
        </is>
      </c>
      <c r="T7" s="14" t="inlineStr">
        <is>
          <t>—</t>
        </is>
      </c>
      <c r="U7" s="14" t="inlineStr">
        <is>
          <t>—</t>
        </is>
      </c>
      <c r="V7" s="14" t="inlineStr">
        <is>
          <t>—</t>
        </is>
      </c>
      <c r="W7" s="14" t="inlineStr">
        <is>
          <t>—</t>
        </is>
      </c>
      <c r="X7" s="14" t="inlineStr">
        <is>
          <t>—</t>
        </is>
      </c>
      <c r="Y7" s="14" t="inlineStr">
        <is>
          <t>—</t>
        </is>
      </c>
      <c r="Z7" s="19" t="inlineStr">
        <is>
          <t>Austenitic stainless steel 300 series, calibrated from Table 3.</t>
        </is>
      </c>
    </row>
    <row r="8" ht="28" customHeight="1">
      <c r="A8" s="264" t="inlineStr">
        <is>
          <t>Austenitic_SS_21Cr_6Ni_9Mn_22Cr_13Ni_5Mn</t>
        </is>
      </c>
      <c r="B8" s="264" t="inlineStr">
        <is>
          <t>San Marchi 2007, Table 3. doi:10.1016/j.ijhydene.2006.05.008</t>
        </is>
      </c>
      <c r="C8" s="264" t="inlineStr">
        <is>
          <t>H₂</t>
        </is>
      </c>
      <c r="D8" s="12" t="n">
        <v>623</v>
      </c>
      <c r="E8" s="12" t="n">
        <v>373</v>
      </c>
      <c r="F8" s="12" t="n">
        <v>623</v>
      </c>
      <c r="G8" s="13" t="n">
        <v>1.633e-11</v>
      </c>
      <c r="H8" s="12" t="n">
        <v>53900</v>
      </c>
      <c r="I8" s="14" t="inlineStr">
        <is>
          <t>—</t>
        </is>
      </c>
      <c r="J8" s="12" t="n">
        <v>0.07106999999999999</v>
      </c>
      <c r="K8" s="12" t="n">
        <v>5900</v>
      </c>
      <c r="L8" s="14" t="inlineStr">
        <is>
          <t>—</t>
        </is>
      </c>
      <c r="M8" s="13" t="n">
        <v>1.161e-12</v>
      </c>
      <c r="N8" s="14" t="inlineStr">
        <is>
          <t>—</t>
        </is>
      </c>
      <c r="O8" s="14" t="inlineStr">
        <is>
          <t>—</t>
        </is>
      </c>
      <c r="P8" s="14" t="inlineStr">
        <is>
          <t>—</t>
        </is>
      </c>
      <c r="Q8" s="14" t="inlineStr">
        <is>
          <t>—</t>
        </is>
      </c>
      <c r="R8" s="14" t="inlineStr">
        <is>
          <t>—</t>
        </is>
      </c>
      <c r="S8" s="14" t="inlineStr">
        <is>
          <t>—</t>
        </is>
      </c>
      <c r="T8" s="14" t="inlineStr">
        <is>
          <t>—</t>
        </is>
      </c>
      <c r="U8" s="14" t="inlineStr">
        <is>
          <t>—</t>
        </is>
      </c>
      <c r="V8" s="14" t="inlineStr">
        <is>
          <t>—</t>
        </is>
      </c>
      <c r="W8" s="14" t="inlineStr">
        <is>
          <t>—</t>
        </is>
      </c>
      <c r="X8" s="14" t="inlineStr">
        <is>
          <t>—</t>
        </is>
      </c>
      <c r="Y8" s="14" t="inlineStr">
        <is>
          <t>—</t>
        </is>
      </c>
      <c r="Z8" s="15" t="inlineStr">
        <is>
          <t>Austenitic SS grades 21Cr–6Ni–9Mn and 22Cr–13Ni–5Mn, calibrated from Table 3.</t>
        </is>
      </c>
    </row>
    <row r="9" ht="28" customHeight="1">
      <c r="A9" s="262" t="inlineStr">
        <is>
          <t>Austenitic_SS_A286_JBK75_aged</t>
        </is>
      </c>
      <c r="B9" s="262" t="inlineStr">
        <is>
          <t>San Marchi 2007, Table 3. doi:10.1016/j.ijhydene.2006.05.008</t>
        </is>
      </c>
      <c r="C9" s="262" t="inlineStr">
        <is>
          <t>H₂</t>
        </is>
      </c>
      <c r="D9" s="17" t="n">
        <v>623</v>
      </c>
      <c r="E9" s="17" t="n">
        <v>373</v>
      </c>
      <c r="F9" s="17" t="n">
        <v>623</v>
      </c>
      <c r="G9" s="18" t="n">
        <v>3.629e-11</v>
      </c>
      <c r="H9" s="17" t="n">
        <v>53900</v>
      </c>
      <c r="I9" s="14" t="inlineStr">
        <is>
          <t>—</t>
        </is>
      </c>
      <c r="J9" s="17" t="n">
        <v>0.03297</v>
      </c>
      <c r="K9" s="17" t="n">
        <v>5900</v>
      </c>
      <c r="L9" s="14" t="inlineStr">
        <is>
          <t>—</t>
        </is>
      </c>
      <c r="M9" s="18" t="n">
        <v>1.197e-12</v>
      </c>
      <c r="N9" s="14" t="inlineStr">
        <is>
          <t>—</t>
        </is>
      </c>
      <c r="O9" s="14" t="inlineStr">
        <is>
          <t>—</t>
        </is>
      </c>
      <c r="P9" s="14" t="inlineStr">
        <is>
          <t>—</t>
        </is>
      </c>
      <c r="Q9" s="14" t="inlineStr">
        <is>
          <t>—</t>
        </is>
      </c>
      <c r="R9" s="14" t="inlineStr">
        <is>
          <t>—</t>
        </is>
      </c>
      <c r="S9" s="14" t="inlineStr">
        <is>
          <t>—</t>
        </is>
      </c>
      <c r="T9" s="14" t="inlineStr">
        <is>
          <t>—</t>
        </is>
      </c>
      <c r="U9" s="14" t="inlineStr">
        <is>
          <t>—</t>
        </is>
      </c>
      <c r="V9" s="14" t="inlineStr">
        <is>
          <t>—</t>
        </is>
      </c>
      <c r="W9" s="14" t="inlineStr">
        <is>
          <t>—</t>
        </is>
      </c>
      <c r="X9" s="14" t="inlineStr">
        <is>
          <t>—</t>
        </is>
      </c>
      <c r="Y9" s="14" t="inlineStr">
        <is>
          <t>—</t>
        </is>
      </c>
      <c r="Z9" s="19" t="inlineStr">
        <is>
          <t>Austenitic SS A-286/JBK-75 aged, calibrated from Table 3.</t>
        </is>
      </c>
    </row>
    <row r="10" ht="28" customHeight="1">
      <c r="A10" s="264" t="inlineStr">
        <is>
          <t>metal_316L_Heat_treated_ref_cast</t>
        </is>
      </c>
      <c r="B10" s="264" t="inlineStr">
        <is>
          <t>Forcey et al. 1988 — Heat treated reference cast 316L austenitic steel</t>
        </is>
      </c>
      <c r="C10" s="264" t="inlineStr">
        <is>
          <t>H₂</t>
        </is>
      </c>
      <c r="D10" s="12" t="n">
        <v>873</v>
      </c>
      <c r="E10" s="12" t="n">
        <v>523</v>
      </c>
      <c r="F10" s="12" t="n">
        <v>873</v>
      </c>
      <c r="G10" s="13" t="n">
        <v>2.194e-10</v>
      </c>
      <c r="H10" s="12" t="n">
        <v>42500</v>
      </c>
      <c r="I10" s="13" t="n">
        <v>7.66e-08</v>
      </c>
      <c r="J10" s="12" t="n">
        <v>0.02723</v>
      </c>
      <c r="K10" s="12" t="n">
        <v>20585</v>
      </c>
      <c r="L10" s="12" t="n">
        <v>0.464</v>
      </c>
      <c r="M10" s="13" t="n">
        <v>1.881e-11</v>
      </c>
      <c r="N10" s="12" t="n">
        <v>63085</v>
      </c>
      <c r="O10" s="13" t="n">
        <v>1.12e-07</v>
      </c>
      <c r="P10" s="12" t="n">
        <v>0.005</v>
      </c>
      <c r="Q10" s="14" t="inlineStr">
        <is>
          <t>—</t>
        </is>
      </c>
      <c r="R10" s="14" t="inlineStr">
        <is>
          <t>—</t>
        </is>
      </c>
      <c r="S10" s="14" t="inlineStr">
        <is>
          <t>—</t>
        </is>
      </c>
      <c r="T10" s="14" t="inlineStr">
        <is>
          <t>—</t>
        </is>
      </c>
      <c r="U10" s="14" t="inlineStr">
        <is>
          <t>—</t>
        </is>
      </c>
      <c r="V10" s="14" t="inlineStr">
        <is>
          <t>—</t>
        </is>
      </c>
      <c r="W10" s="14" t="inlineStr">
        <is>
          <t>—</t>
        </is>
      </c>
      <c r="X10" s="14" t="inlineStr">
        <is>
          <t>—</t>
        </is>
      </c>
      <c r="Y10" s="14" t="inlineStr">
        <is>
          <t>—</t>
        </is>
      </c>
      <c r="Z10" s="15" t="inlineStr">
        <is>
          <t>Data in SI units. Phi_ref = D_ref * Ks_ref. Ks_0 = Phi_0/D_0 = 1.462.</t>
        </is>
      </c>
    </row>
    <row r="11" ht="28" customHeight="1">
      <c r="A11" s="262" t="inlineStr">
        <is>
          <t>metal_316L_Commercial</t>
        </is>
      </c>
      <c r="B11" s="262" t="inlineStr">
        <is>
          <t>Forcey et al. 1988 — Commercial 316L austenitic steel</t>
        </is>
      </c>
      <c r="C11" s="262" t="inlineStr">
        <is>
          <t>H₂</t>
        </is>
      </c>
      <c r="D11" s="17" t="n">
        <v>873</v>
      </c>
      <c r="E11" s="17" t="n">
        <v>523</v>
      </c>
      <c r="F11" s="17" t="n">
        <v>873</v>
      </c>
      <c r="G11" s="18" t="n">
        <v>7.237e-10</v>
      </c>
      <c r="H11" s="17" t="n">
        <v>45500</v>
      </c>
      <c r="I11" s="18" t="n">
        <v>3.82e-07</v>
      </c>
      <c r="J11" s="17" t="n">
        <v>0.1171</v>
      </c>
      <c r="K11" s="17" t="n">
        <v>18510</v>
      </c>
      <c r="L11" s="17" t="n">
        <v>1.5</v>
      </c>
      <c r="M11" s="18" t="n">
        <v>2.655e-11</v>
      </c>
      <c r="N11" s="17" t="n">
        <v>64030</v>
      </c>
      <c r="O11" s="18" t="n">
        <v>1.8e-07</v>
      </c>
      <c r="P11" s="17" t="n">
        <v>0.005</v>
      </c>
      <c r="Q11" s="14" t="inlineStr">
        <is>
          <t>—</t>
        </is>
      </c>
      <c r="R11" s="14" t="inlineStr">
        <is>
          <t>—</t>
        </is>
      </c>
      <c r="S11" s="14" t="inlineStr">
        <is>
          <t>—</t>
        </is>
      </c>
      <c r="T11" s="14" t="inlineStr">
        <is>
          <t>—</t>
        </is>
      </c>
      <c r="U11" s="14" t="inlineStr">
        <is>
          <t>—</t>
        </is>
      </c>
      <c r="V11" s="14" t="inlineStr">
        <is>
          <t>—</t>
        </is>
      </c>
      <c r="W11" s="14" t="inlineStr">
        <is>
          <t>—</t>
        </is>
      </c>
      <c r="X11" s="14" t="inlineStr">
        <is>
          <t>—</t>
        </is>
      </c>
      <c r="Y11" s="14" t="inlineStr">
        <is>
          <t>—</t>
        </is>
      </c>
      <c r="Z11" s="19" t="inlineStr">
        <is>
          <t>Data in SI units. Phi_ref = D_ref * Ks_ref. Ks_0 = Phi_0/D_0 = 0.4712.</t>
        </is>
      </c>
    </row>
    <row r="12" ht="28" customHeight="1">
      <c r="A12" s="264" t="inlineStr">
        <is>
          <t>metal_1.4914_Heat_treated_ref_cast</t>
        </is>
      </c>
      <c r="B12" s="264" t="inlineStr">
        <is>
          <t>Forcey et al. 1988 — Heat-treated reference cast 1.4914 martensitic steel</t>
        </is>
      </c>
      <c r="C12" s="264" t="inlineStr">
        <is>
          <t>H₂</t>
        </is>
      </c>
      <c r="D12" s="12" t="n">
        <v>873</v>
      </c>
      <c r="E12" s="12" t="n">
        <v>523</v>
      </c>
      <c r="F12" s="12" t="n">
        <v>873</v>
      </c>
      <c r="G12" s="13" t="n">
        <v>1.118e-08</v>
      </c>
      <c r="H12" s="12" t="n">
        <v>13490</v>
      </c>
      <c r="I12" s="13" t="n">
        <v>7.17e-08</v>
      </c>
      <c r="J12" s="12" t="n">
        <v>0.02179</v>
      </c>
      <c r="K12" s="12" t="n">
        <v>29620</v>
      </c>
      <c r="L12" s="12" t="n">
        <v>1.29</v>
      </c>
      <c r="M12" s="13" t="n">
        <v>7.700000000000001e-11</v>
      </c>
      <c r="N12" s="12" t="n">
        <v>43100</v>
      </c>
      <c r="O12" s="13" t="n">
        <v>2.92e-08</v>
      </c>
      <c r="P12" s="12" t="n">
        <v>0.005</v>
      </c>
      <c r="Q12" s="14" t="inlineStr">
        <is>
          <t>—</t>
        </is>
      </c>
      <c r="R12" s="14" t="inlineStr">
        <is>
          <t>—</t>
        </is>
      </c>
      <c r="S12" s="14" t="inlineStr">
        <is>
          <t>—</t>
        </is>
      </c>
      <c r="T12" s="14" t="inlineStr">
        <is>
          <t>—</t>
        </is>
      </c>
      <c r="U12" s="14" t="inlineStr">
        <is>
          <t>—</t>
        </is>
      </c>
      <c r="V12" s="14" t="inlineStr">
        <is>
          <t>—</t>
        </is>
      </c>
      <c r="W12" s="14" t="inlineStr">
        <is>
          <t>—</t>
        </is>
      </c>
      <c r="X12" s="14" t="inlineStr">
        <is>
          <t>—</t>
        </is>
      </c>
      <c r="Y12" s="14" t="inlineStr">
        <is>
          <t>—</t>
        </is>
      </c>
      <c r="Z12" s="15" t="inlineStr">
        <is>
          <t>Martensitic steel. Phi_ref = D_ref * Ks_ref. Ks_0 = Phi_0/D_0 = 0.4073.</t>
        </is>
      </c>
    </row>
    <row r="13" ht="28" customHeight="1">
      <c r="A13" s="262" t="inlineStr">
        <is>
          <t>metal_1.4914_Commercial</t>
        </is>
      </c>
      <c r="B13" s="262" t="inlineStr">
        <is>
          <t>Forcey et al. 1988 — Commercial 1.4914 martensitic steel</t>
        </is>
      </c>
      <c r="C13" s="262" t="inlineStr">
        <is>
          <t>H₂</t>
        </is>
      </c>
      <c r="D13" s="17" t="n">
        <v>873</v>
      </c>
      <c r="E13" s="17" t="n">
        <v>523</v>
      </c>
      <c r="F13" s="17" t="n">
        <v>873</v>
      </c>
      <c r="G13" s="18" t="n">
        <v>1.047e-08</v>
      </c>
      <c r="H13" s="17" t="n">
        <v>15470</v>
      </c>
      <c r="I13" s="18" t="n">
        <v>8.82e-08</v>
      </c>
      <c r="J13" s="17" t="n">
        <v>0.02903</v>
      </c>
      <c r="K13" s="17" t="n">
        <v>26890</v>
      </c>
      <c r="L13" s="17" t="n">
        <v>1.18</v>
      </c>
      <c r="M13" s="18" t="n">
        <v>9.737e-11</v>
      </c>
      <c r="N13" s="17" t="n">
        <v>43270</v>
      </c>
      <c r="O13" s="18" t="n">
        <v>3.78e-08</v>
      </c>
      <c r="P13" s="17" t="n">
        <v>0.005</v>
      </c>
      <c r="Q13" s="14" t="inlineStr">
        <is>
          <t>—</t>
        </is>
      </c>
      <c r="R13" s="14" t="inlineStr">
        <is>
          <t>—</t>
        </is>
      </c>
      <c r="S13" s="14" t="inlineStr">
        <is>
          <t>—</t>
        </is>
      </c>
      <c r="T13" s="14" t="inlineStr">
        <is>
          <t>—</t>
        </is>
      </c>
      <c r="U13" s="14" t="inlineStr">
        <is>
          <t>—</t>
        </is>
      </c>
      <c r="V13" s="14" t="inlineStr">
        <is>
          <t>—</t>
        </is>
      </c>
      <c r="W13" s="14" t="inlineStr">
        <is>
          <t>—</t>
        </is>
      </c>
      <c r="X13" s="14" t="inlineStr">
        <is>
          <t>—</t>
        </is>
      </c>
      <c r="Y13" s="14" t="inlineStr">
        <is>
          <t>—</t>
        </is>
      </c>
      <c r="Z13" s="19" t="inlineStr">
        <is>
          <t>Martensitic steel. Phi_ref = D_ref * Ks_ref. Ks_0 = Phi_0/D_0 = 0.4286. Qs vs H_s diff = 910 J/mol (rounding in source).</t>
        </is>
      </c>
    </row>
    <row r="14" ht="28" customHeight="1">
      <c r="A14" s="264" t="inlineStr">
        <is>
          <t>Nickel_unoxidized_Strehlow1974_tableI</t>
        </is>
      </c>
      <c r="B14" s="264" t="inlineStr">
        <is>
          <t>Strehlow &amp; Savage 1974. DOI: 10.13182/NT74-A16282. TABLE I</t>
        </is>
      </c>
      <c r="C14" s="264" t="inlineStr">
        <is>
          <t>D₂</t>
        </is>
      </c>
      <c r="D14" s="12" t="n">
        <v>896</v>
      </c>
      <c r="E14" s="12" t="n">
        <v>873</v>
      </c>
      <c r="F14" s="12" t="n">
        <v>973</v>
      </c>
      <c r="G14" s="14" t="inlineStr">
        <is>
          <t>—</t>
        </is>
      </c>
      <c r="H14" s="14" t="inlineStr">
        <is>
          <t>—</t>
        </is>
      </c>
      <c r="I14" s="14" t="inlineStr">
        <is>
          <t>—</t>
        </is>
      </c>
      <c r="J14" s="14" t="inlineStr">
        <is>
          <t>—</t>
        </is>
      </c>
      <c r="K14" s="14" t="inlineStr">
        <is>
          <t>—</t>
        </is>
      </c>
      <c r="L14" s="14" t="inlineStr">
        <is>
          <t>—</t>
        </is>
      </c>
      <c r="M14" s="13" t="n">
        <v>1.872e-09</v>
      </c>
      <c r="N14" s="12" t="n">
        <v>53550</v>
      </c>
      <c r="O14" s="14" t="inlineStr">
        <is>
          <t>—</t>
        </is>
      </c>
      <c r="P14" s="13" t="n">
        <v>0.0009</v>
      </c>
      <c r="Q14" s="14" t="inlineStr">
        <is>
          <t>—</t>
        </is>
      </c>
      <c r="R14" s="14" t="inlineStr">
        <is>
          <t>—</t>
        </is>
      </c>
      <c r="S14" s="14" t="inlineStr">
        <is>
          <t>—</t>
        </is>
      </c>
      <c r="T14" s="14" t="inlineStr">
        <is>
          <t>—</t>
        </is>
      </c>
      <c r="U14" s="14" t="inlineStr">
        <is>
          <t>—</t>
        </is>
      </c>
      <c r="V14" s="14" t="inlineStr">
        <is>
          <t>—</t>
        </is>
      </c>
      <c r="W14" s="14" t="inlineStr">
        <is>
          <t>—</t>
        </is>
      </c>
      <c r="X14" s="14" t="inlineStr">
        <is>
          <t>—</t>
        </is>
      </c>
      <c r="Y14" s="14" t="inlineStr">
        <is>
          <t>—</t>
        </is>
      </c>
      <c r="Z14" s="15" t="inlineStr">
        <is>
          <t>Permeation rate at 1 Torr = 1.5e-3 to 1.7e-3 cm³(STP)/(h·cm²) = 1.56e-10 to 1.77e-10 mol/m/s/Pa^0.5. Activation energy range: [12.3, 12.6] kcal/mol = [51.463, 52.718] kJ/mol.</t>
        </is>
      </c>
    </row>
    <row r="15" ht="28" customHeight="1">
      <c r="A15" s="262" t="inlineStr">
        <is>
          <t>Nickel_unoxidized_Strehlow1974_tableII</t>
        </is>
      </c>
      <c r="B15" s="262" t="inlineStr">
        <is>
          <t>Strehlow &amp; Savage 1974. DOI: 10.13182/NT74-A16282. TABLE II</t>
        </is>
      </c>
      <c r="C15" s="262" t="inlineStr">
        <is>
          <t>D₂</t>
        </is>
      </c>
      <c r="D15" s="17" t="n">
        <v>896</v>
      </c>
      <c r="E15" s="17" t="n">
        <v>873</v>
      </c>
      <c r="F15" s="17" t="n">
        <v>973</v>
      </c>
      <c r="G15" s="14" t="inlineStr">
        <is>
          <t>—</t>
        </is>
      </c>
      <c r="H15" s="14" t="inlineStr">
        <is>
          <t>—</t>
        </is>
      </c>
      <c r="I15" s="14" t="inlineStr">
        <is>
          <t>—</t>
        </is>
      </c>
      <c r="J15" s="14" t="inlineStr">
        <is>
          <t>—</t>
        </is>
      </c>
      <c r="K15" s="14" t="inlineStr">
        <is>
          <t>—</t>
        </is>
      </c>
      <c r="L15" s="14" t="inlineStr">
        <is>
          <t>—</t>
        </is>
      </c>
      <c r="M15" s="18" t="n">
        <v>1.66e-09</v>
      </c>
      <c r="N15" s="17" t="n">
        <v>53550</v>
      </c>
      <c r="O15" s="14" t="inlineStr">
        <is>
          <t>—</t>
        </is>
      </c>
      <c r="P15" s="17" t="n">
        <v>0.001</v>
      </c>
      <c r="Q15" s="14" t="inlineStr">
        <is>
          <t>—</t>
        </is>
      </c>
      <c r="R15" s="14" t="inlineStr">
        <is>
          <t>—</t>
        </is>
      </c>
      <c r="S15" s="14" t="inlineStr">
        <is>
          <t>—</t>
        </is>
      </c>
      <c r="T15" s="14" t="inlineStr">
        <is>
          <t>—</t>
        </is>
      </c>
      <c r="U15" s="14" t="inlineStr">
        <is>
          <t>—</t>
        </is>
      </c>
      <c r="V15" s="14" t="inlineStr">
        <is>
          <t>—</t>
        </is>
      </c>
      <c r="W15" s="14" t="inlineStr">
        <is>
          <t>—</t>
        </is>
      </c>
      <c r="X15" s="14" t="inlineStr">
        <is>
          <t>—</t>
        </is>
      </c>
      <c r="Y15" s="14" t="inlineStr">
        <is>
          <t>—</t>
        </is>
      </c>
      <c r="Z15" s="19" t="inlineStr">
        <is>
          <t>Pressure dependence exponent n = [0.51, 0.55]. Permeation rate at 1 Torr = 1.58e-2 to 1.62e-2 cm³(STP)/(h·cm²) = 1.64e-9 to 1.68e-9 mol/m/s/Pa^0.5.</t>
        </is>
      </c>
    </row>
    <row r="16" ht="28" customHeight="1">
      <c r="A16" s="264" t="inlineStr">
        <is>
          <t>Hastelloy_N_unoxidized_Strehlow1974_tableI</t>
        </is>
      </c>
      <c r="B16" s="264" t="inlineStr">
        <is>
          <t>Strehlow &amp; Savage 1974. DOI: 10.13182/NT74-A16282. TABLE I</t>
        </is>
      </c>
      <c r="C16" s="264" t="inlineStr">
        <is>
          <t>D₂</t>
        </is>
      </c>
      <c r="D16" s="12" t="n">
        <v>896</v>
      </c>
      <c r="E16" s="12" t="n">
        <v>873</v>
      </c>
      <c r="F16" s="12" t="n">
        <v>973</v>
      </c>
      <c r="G16" s="14" t="inlineStr">
        <is>
          <t>—</t>
        </is>
      </c>
      <c r="H16" s="14" t="inlineStr">
        <is>
          <t>—</t>
        </is>
      </c>
      <c r="I16" s="14" t="inlineStr">
        <is>
          <t>—</t>
        </is>
      </c>
      <c r="J16" s="14" t="inlineStr">
        <is>
          <t>—</t>
        </is>
      </c>
      <c r="K16" s="14" t="inlineStr">
        <is>
          <t>—</t>
        </is>
      </c>
      <c r="L16" s="14" t="inlineStr">
        <is>
          <t>—</t>
        </is>
      </c>
      <c r="M16" s="14" t="inlineStr">
        <is>
          <t>—</t>
        </is>
      </c>
      <c r="N16" s="14" t="inlineStr">
        <is>
          <t>—</t>
        </is>
      </c>
      <c r="O16" s="14" t="inlineStr">
        <is>
          <t>—</t>
        </is>
      </c>
      <c r="P16" s="13" t="n">
        <v>0.0009</v>
      </c>
      <c r="Q16" s="14" t="inlineStr">
        <is>
          <t>—</t>
        </is>
      </c>
      <c r="R16" s="14" t="inlineStr">
        <is>
          <t>—</t>
        </is>
      </c>
      <c r="S16" s="14" t="inlineStr">
        <is>
          <t>—</t>
        </is>
      </c>
      <c r="T16" s="14" t="inlineStr">
        <is>
          <t>—</t>
        </is>
      </c>
      <c r="U16" s="14" t="inlineStr">
        <is>
          <t>—</t>
        </is>
      </c>
      <c r="V16" s="14" t="inlineStr">
        <is>
          <t>—</t>
        </is>
      </c>
      <c r="W16" s="14" t="inlineStr">
        <is>
          <t>—</t>
        </is>
      </c>
      <c r="X16" s="14" t="inlineStr">
        <is>
          <t>—</t>
        </is>
      </c>
      <c r="Y16" s="14" t="inlineStr">
        <is>
          <t>—</t>
        </is>
      </c>
      <c r="Z16" s="15" t="inlineStr">
        <is>
          <t>Permeation rate at 1 Torr = 1e-3 to 1e-2 cm³(STP)/(h·cm²) = 1.04e-10 to 1.04e-9 mol/m/s/Pa^0.5. Activation energy range: [17, 18] kcal/mol = [71.128, 75.312] kJ/mol.</t>
        </is>
      </c>
    </row>
    <row r="17" ht="28" customHeight="1">
      <c r="A17" s="262" t="inlineStr">
        <is>
          <t>Hastelloy_N_unoxidized_Strehlow1974_tableII</t>
        </is>
      </c>
      <c r="B17" s="262" t="inlineStr">
        <is>
          <t>Strehlow &amp; Savage 1974. DOI: 10.13182/NT74-A16282. TABLE II</t>
        </is>
      </c>
      <c r="C17" s="262" t="inlineStr">
        <is>
          <t>D₂</t>
        </is>
      </c>
      <c r="D17" s="17" t="n">
        <v>842</v>
      </c>
      <c r="E17" s="17" t="n">
        <v>873</v>
      </c>
      <c r="F17" s="17" t="n">
        <v>973</v>
      </c>
      <c r="G17" s="14" t="inlineStr">
        <is>
          <t>—</t>
        </is>
      </c>
      <c r="H17" s="14" t="inlineStr">
        <is>
          <t>—</t>
        </is>
      </c>
      <c r="I17" s="14" t="inlineStr">
        <is>
          <t>—</t>
        </is>
      </c>
      <c r="J17" s="14" t="inlineStr">
        <is>
          <t>—</t>
        </is>
      </c>
      <c r="K17" s="14" t="inlineStr">
        <is>
          <t>—</t>
        </is>
      </c>
      <c r="L17" s="14" t="inlineStr">
        <is>
          <t>—</t>
        </is>
      </c>
      <c r="M17" s="18" t="n">
        <v>2.808e-10</v>
      </c>
      <c r="N17" s="14" t="inlineStr">
        <is>
          <t>—</t>
        </is>
      </c>
      <c r="O17" s="14" t="inlineStr">
        <is>
          <t>—</t>
        </is>
      </c>
      <c r="P17" s="18" t="n">
        <v>0.0009</v>
      </c>
      <c r="Q17" s="14" t="inlineStr">
        <is>
          <t>—</t>
        </is>
      </c>
      <c r="R17" s="14" t="inlineStr">
        <is>
          <t>—</t>
        </is>
      </c>
      <c r="S17" s="14" t="inlineStr">
        <is>
          <t>—</t>
        </is>
      </c>
      <c r="T17" s="14" t="inlineStr">
        <is>
          <t>—</t>
        </is>
      </c>
      <c r="U17" s="14" t="inlineStr">
        <is>
          <t>—</t>
        </is>
      </c>
      <c r="V17" s="14" t="inlineStr">
        <is>
          <t>—</t>
        </is>
      </c>
      <c r="W17" s="14" t="inlineStr">
        <is>
          <t>—</t>
        </is>
      </c>
      <c r="X17" s="14" t="inlineStr">
        <is>
          <t>—</t>
        </is>
      </c>
      <c r="Y17" s="14" t="inlineStr">
        <is>
          <t>—</t>
        </is>
      </c>
      <c r="Z17" s="19" t="inlineStr">
        <is>
          <t>Pressure dependence exponent n = [0.50, 0.54]. Activation energy range: [17, 18] kcal/mol = [71.128, 75.312] kJ/mol.</t>
        </is>
      </c>
    </row>
    <row r="18" ht="28" customHeight="1">
      <c r="A18" s="264" t="inlineStr">
        <is>
          <t>Type304L_SS_unoxidized_Strehlow1974_tableII_970K</t>
        </is>
      </c>
      <c r="B18" s="264" t="inlineStr">
        <is>
          <t>Strehlow &amp; Savage 1974. DOI: 10.13182/NT74-A16282. TABLE II</t>
        </is>
      </c>
      <c r="C18" s="264" t="inlineStr">
        <is>
          <t>D₂</t>
        </is>
      </c>
      <c r="D18" s="12" t="n">
        <v>970</v>
      </c>
      <c r="E18" s="14" t="inlineStr">
        <is>
          <t>—</t>
        </is>
      </c>
      <c r="F18" s="14" t="inlineStr">
        <is>
          <t>—</t>
        </is>
      </c>
      <c r="G18" s="14" t="inlineStr">
        <is>
          <t>—</t>
        </is>
      </c>
      <c r="H18" s="14" t="inlineStr">
        <is>
          <t>—</t>
        </is>
      </c>
      <c r="I18" s="14" t="inlineStr">
        <is>
          <t>—</t>
        </is>
      </c>
      <c r="J18" s="14" t="inlineStr">
        <is>
          <t>—</t>
        </is>
      </c>
      <c r="K18" s="14" t="inlineStr">
        <is>
          <t>—</t>
        </is>
      </c>
      <c r="L18" s="14" t="inlineStr">
        <is>
          <t>—</t>
        </is>
      </c>
      <c r="M18" s="13" t="n">
        <v>2.392e-10</v>
      </c>
      <c r="N18" s="14" t="inlineStr">
        <is>
          <t>—</t>
        </is>
      </c>
      <c r="O18" s="14" t="inlineStr">
        <is>
          <t>—</t>
        </is>
      </c>
      <c r="P18" s="13" t="n">
        <v>0.0009</v>
      </c>
      <c r="Q18" s="14" t="inlineStr">
        <is>
          <t>—</t>
        </is>
      </c>
      <c r="R18" s="14" t="inlineStr">
        <is>
          <t>—</t>
        </is>
      </c>
      <c r="S18" s="14" t="inlineStr">
        <is>
          <t>—</t>
        </is>
      </c>
      <c r="T18" s="14" t="inlineStr">
        <is>
          <t>—</t>
        </is>
      </c>
      <c r="U18" s="14" t="inlineStr">
        <is>
          <t>—</t>
        </is>
      </c>
      <c r="V18" s="14" t="inlineStr">
        <is>
          <t>—</t>
        </is>
      </c>
      <c r="W18" s="14" t="inlineStr">
        <is>
          <t>—</t>
        </is>
      </c>
      <c r="X18" s="14" t="inlineStr">
        <is>
          <t>—</t>
        </is>
      </c>
      <c r="Y18" s="14" t="inlineStr">
        <is>
          <t>—</t>
        </is>
      </c>
      <c r="Z18" s="15" t="inlineStr">
        <is>
          <t>Uncertainty on Phi_ref not available.</t>
        </is>
      </c>
    </row>
    <row r="19" ht="28" customHeight="1">
      <c r="A19" s="262" t="inlineStr">
        <is>
          <t>Type304L_SS_unoxidized_Strehlow1974_tableII_1058K</t>
        </is>
      </c>
      <c r="B19" s="262" t="inlineStr">
        <is>
          <t>Strehlow &amp; Savage 1974. DOI: 10.13182/NT74-A16282. TABLE II</t>
        </is>
      </c>
      <c r="C19" s="262" t="inlineStr">
        <is>
          <t>D₂</t>
        </is>
      </c>
      <c r="D19" s="17" t="n">
        <v>1058</v>
      </c>
      <c r="E19" s="14" t="inlineStr">
        <is>
          <t>—</t>
        </is>
      </c>
      <c r="F19" s="14" t="inlineStr">
        <is>
          <t>—</t>
        </is>
      </c>
      <c r="G19" s="14" t="inlineStr">
        <is>
          <t>—</t>
        </is>
      </c>
      <c r="H19" s="14" t="inlineStr">
        <is>
          <t>—</t>
        </is>
      </c>
      <c r="I19" s="14" t="inlineStr">
        <is>
          <t>—</t>
        </is>
      </c>
      <c r="J19" s="14" t="inlineStr">
        <is>
          <t>—</t>
        </is>
      </c>
      <c r="K19" s="14" t="inlineStr">
        <is>
          <t>—</t>
        </is>
      </c>
      <c r="L19" s="14" t="inlineStr">
        <is>
          <t>—</t>
        </is>
      </c>
      <c r="M19" s="18" t="n">
        <v>2.392e-10</v>
      </c>
      <c r="N19" s="14" t="inlineStr">
        <is>
          <t>—</t>
        </is>
      </c>
      <c r="O19" s="14" t="inlineStr">
        <is>
          <t>—</t>
        </is>
      </c>
      <c r="P19" s="18" t="n">
        <v>0.0009</v>
      </c>
      <c r="Q19" s="14" t="inlineStr">
        <is>
          <t>—</t>
        </is>
      </c>
      <c r="R19" s="14" t="inlineStr">
        <is>
          <t>—</t>
        </is>
      </c>
      <c r="S19" s="14" t="inlineStr">
        <is>
          <t>—</t>
        </is>
      </c>
      <c r="T19" s="14" t="inlineStr">
        <is>
          <t>—</t>
        </is>
      </c>
      <c r="U19" s="14" t="inlineStr">
        <is>
          <t>—</t>
        </is>
      </c>
      <c r="V19" s="14" t="inlineStr">
        <is>
          <t>—</t>
        </is>
      </c>
      <c r="W19" s="14" t="inlineStr">
        <is>
          <t>—</t>
        </is>
      </c>
      <c r="X19" s="14" t="inlineStr">
        <is>
          <t>—</t>
        </is>
      </c>
      <c r="Y19" s="14" t="inlineStr">
        <is>
          <t>—</t>
        </is>
      </c>
      <c r="Z19" s="19" t="inlineStr">
        <is>
          <t>Pressure dependence exponent n = [0.65, 0.75]. Uncertainty = (-0.4, +0.4) × 1.04e-7.</t>
        </is>
      </c>
    </row>
    <row r="20" ht="28" customHeight="1">
      <c r="A20" s="264" t="inlineStr">
        <is>
          <t>Type304L_SS_oxidized_Strehlow1974_tableII_970K</t>
        </is>
      </c>
      <c r="B20" s="264" t="inlineStr">
        <is>
          <t>Strehlow &amp; Savage 1974. DOI: 10.13182/NT74-A16282. TABLE II</t>
        </is>
      </c>
      <c r="C20" s="264" t="inlineStr">
        <is>
          <t>D₂</t>
        </is>
      </c>
      <c r="D20" s="12" t="n">
        <v>970</v>
      </c>
      <c r="E20" s="14" t="inlineStr">
        <is>
          <t>—</t>
        </is>
      </c>
      <c r="F20" s="14" t="inlineStr">
        <is>
          <t>—</t>
        </is>
      </c>
      <c r="G20" s="14" t="inlineStr">
        <is>
          <t>—</t>
        </is>
      </c>
      <c r="H20" s="14" t="inlineStr">
        <is>
          <t>—</t>
        </is>
      </c>
      <c r="I20" s="14" t="inlineStr">
        <is>
          <t>—</t>
        </is>
      </c>
      <c r="J20" s="14" t="inlineStr">
        <is>
          <t>—</t>
        </is>
      </c>
      <c r="K20" s="14" t="inlineStr">
        <is>
          <t>—</t>
        </is>
      </c>
      <c r="L20" s="14" t="inlineStr">
        <is>
          <t>—</t>
        </is>
      </c>
      <c r="M20" s="13" t="n">
        <v>2.704e-11</v>
      </c>
      <c r="N20" s="14" t="inlineStr">
        <is>
          <t>—</t>
        </is>
      </c>
      <c r="O20" s="14" t="inlineStr">
        <is>
          <t>—</t>
        </is>
      </c>
      <c r="P20" s="13" t="n">
        <v>0.0009</v>
      </c>
      <c r="Q20" s="14" t="inlineStr">
        <is>
          <t>—</t>
        </is>
      </c>
      <c r="R20" s="14" t="inlineStr">
        <is>
          <t>—</t>
        </is>
      </c>
      <c r="S20" s="14" t="inlineStr">
        <is>
          <t>—</t>
        </is>
      </c>
      <c r="T20" s="14" t="inlineStr">
        <is>
          <t>—</t>
        </is>
      </c>
      <c r="U20" s="14" t="inlineStr">
        <is>
          <t>—</t>
        </is>
      </c>
      <c r="V20" s="14" t="inlineStr">
        <is>
          <t>—</t>
        </is>
      </c>
      <c r="W20" s="14" t="inlineStr">
        <is>
          <t>—</t>
        </is>
      </c>
      <c r="X20" s="14" t="inlineStr">
        <is>
          <t>—</t>
        </is>
      </c>
      <c r="Y20" s="14" t="inlineStr">
        <is>
          <t>—</t>
        </is>
      </c>
      <c r="Z20" s="15" t="inlineStr">
        <is>
          <t>Pressure dependence exponent n = [0.49, 0.59]. Uncertainty = (-0.5, +0.5) × 1.04e-7.</t>
        </is>
      </c>
    </row>
    <row r="21" ht="28" customHeight="1">
      <c r="A21" s="262" t="inlineStr">
        <is>
          <t>Type406L_SS_oxidized_Strehlow1974_tableII_915K</t>
        </is>
      </c>
      <c r="B21" s="262" t="inlineStr">
        <is>
          <t>Strehlow &amp; Savage 1974. DOI: 10.13182/NT74-A16282. TABLE II</t>
        </is>
      </c>
      <c r="C21" s="262" t="inlineStr">
        <is>
          <t>D₂</t>
        </is>
      </c>
      <c r="D21" s="17" t="n">
        <v>915</v>
      </c>
      <c r="E21" s="14" t="inlineStr">
        <is>
          <t>—</t>
        </is>
      </c>
      <c r="F21" s="14" t="inlineStr">
        <is>
          <t>—</t>
        </is>
      </c>
      <c r="G21" s="14" t="inlineStr">
        <is>
          <t>—</t>
        </is>
      </c>
      <c r="H21" s="14" t="inlineStr">
        <is>
          <t>—</t>
        </is>
      </c>
      <c r="I21" s="14" t="inlineStr">
        <is>
          <t>—</t>
        </is>
      </c>
      <c r="J21" s="14" t="inlineStr">
        <is>
          <t>—</t>
        </is>
      </c>
      <c r="K21" s="14" t="inlineStr">
        <is>
          <t>—</t>
        </is>
      </c>
      <c r="L21" s="14" t="inlineStr">
        <is>
          <t>—</t>
        </is>
      </c>
      <c r="M21" s="18" t="n">
        <v>1.664e-12</v>
      </c>
      <c r="N21" s="14" t="inlineStr">
        <is>
          <t>—</t>
        </is>
      </c>
      <c r="O21" s="14" t="inlineStr">
        <is>
          <t>—</t>
        </is>
      </c>
      <c r="P21" s="18" t="n">
        <v>0.0009</v>
      </c>
      <c r="Q21" s="14" t="inlineStr">
        <is>
          <t>—</t>
        </is>
      </c>
      <c r="R21" s="14" t="inlineStr">
        <is>
          <t>—</t>
        </is>
      </c>
      <c r="S21" s="14" t="inlineStr">
        <is>
          <t>—</t>
        </is>
      </c>
      <c r="T21" s="14" t="inlineStr">
        <is>
          <t>—</t>
        </is>
      </c>
      <c r="U21" s="14" t="inlineStr">
        <is>
          <t>—</t>
        </is>
      </c>
      <c r="V21" s="14" t="inlineStr">
        <is>
          <t>—</t>
        </is>
      </c>
      <c r="W21" s="14" t="inlineStr">
        <is>
          <t>—</t>
        </is>
      </c>
      <c r="X21" s="14" t="inlineStr">
        <is>
          <t>—</t>
        </is>
      </c>
      <c r="Y21" s="14" t="inlineStr">
        <is>
          <t>—</t>
        </is>
      </c>
      <c r="Z21" s="19" t="inlineStr">
        <is>
          <t>Pressure dependence exponent n = [0.4, 0.6]. Uncertainty = (-0.3, +0.3) × 1.04e-7.</t>
        </is>
      </c>
    </row>
    <row r="22" ht="28" customHeight="1">
      <c r="A22" s="264" t="inlineStr">
        <is>
          <t>Incoloy800_unoxidized_Strehlow1974_tableII_922K</t>
        </is>
      </c>
      <c r="B22" s="264" t="inlineStr">
        <is>
          <t>Strehlow &amp; Savage 1974. DOI: 10.13182/NT74-A16282. TABLE II</t>
        </is>
      </c>
      <c r="C22" s="264" t="inlineStr">
        <is>
          <t>D₂</t>
        </is>
      </c>
      <c r="D22" s="12" t="n">
        <v>922</v>
      </c>
      <c r="E22" s="14" t="inlineStr">
        <is>
          <t>—</t>
        </is>
      </c>
      <c r="F22" s="14" t="inlineStr">
        <is>
          <t>—</t>
        </is>
      </c>
      <c r="G22" s="14" t="inlineStr">
        <is>
          <t>—</t>
        </is>
      </c>
      <c r="H22" s="14" t="inlineStr">
        <is>
          <t>—</t>
        </is>
      </c>
      <c r="I22" s="14" t="inlineStr">
        <is>
          <t>—</t>
        </is>
      </c>
      <c r="J22" s="14" t="inlineStr">
        <is>
          <t>—</t>
        </is>
      </c>
      <c r="K22" s="14" t="inlineStr">
        <is>
          <t>—</t>
        </is>
      </c>
      <c r="L22" s="14" t="inlineStr">
        <is>
          <t>—</t>
        </is>
      </c>
      <c r="M22" s="13" t="n">
        <v>1.664e-10</v>
      </c>
      <c r="N22" s="14" t="inlineStr">
        <is>
          <t>—</t>
        </is>
      </c>
      <c r="O22" s="14" t="inlineStr">
        <is>
          <t>—</t>
        </is>
      </c>
      <c r="P22" s="13" t="n">
        <v>0.0009</v>
      </c>
      <c r="Q22" s="14" t="inlineStr">
        <is>
          <t>—</t>
        </is>
      </c>
      <c r="R22" s="14" t="inlineStr">
        <is>
          <t>—</t>
        </is>
      </c>
      <c r="S22" s="14" t="inlineStr">
        <is>
          <t>—</t>
        </is>
      </c>
      <c r="T22" s="14" t="inlineStr">
        <is>
          <t>—</t>
        </is>
      </c>
      <c r="U22" s="14" t="inlineStr">
        <is>
          <t>—</t>
        </is>
      </c>
      <c r="V22" s="14" t="inlineStr">
        <is>
          <t>—</t>
        </is>
      </c>
      <c r="W22" s="14" t="inlineStr">
        <is>
          <t>—</t>
        </is>
      </c>
      <c r="X22" s="14" t="inlineStr">
        <is>
          <t>—</t>
        </is>
      </c>
      <c r="Y22" s="14" t="inlineStr">
        <is>
          <t>—</t>
        </is>
      </c>
      <c r="Z22" s="15" t="inlineStr">
        <is>
          <t>Pressure dependence exponent n = [0.56, 0.65]. Uncertainty = (-0.2, +0.2) × 1.04e-7.</t>
        </is>
      </c>
    </row>
    <row r="23" ht="28" customHeight="1">
      <c r="A23" s="262" t="inlineStr">
        <is>
          <t>Incoloy800_oxidized_Strehlow1974_tableII_922K</t>
        </is>
      </c>
      <c r="B23" s="262" t="inlineStr">
        <is>
          <t>Strehlow &amp; Savage 1974. DOI: 10.13182/NT74-A16282. TABLE II</t>
        </is>
      </c>
      <c r="C23" s="262" t="inlineStr">
        <is>
          <t>D₂</t>
        </is>
      </c>
      <c r="D23" s="17" t="n">
        <v>922</v>
      </c>
      <c r="E23" s="14" t="inlineStr">
        <is>
          <t>—</t>
        </is>
      </c>
      <c r="F23" s="14" t="inlineStr">
        <is>
          <t>—</t>
        </is>
      </c>
      <c r="G23" s="14" t="inlineStr">
        <is>
          <t>—</t>
        </is>
      </c>
      <c r="H23" s="14" t="inlineStr">
        <is>
          <t>—</t>
        </is>
      </c>
      <c r="I23" s="14" t="inlineStr">
        <is>
          <t>—</t>
        </is>
      </c>
      <c r="J23" s="14" t="inlineStr">
        <is>
          <t>—</t>
        </is>
      </c>
      <c r="K23" s="14" t="inlineStr">
        <is>
          <t>—</t>
        </is>
      </c>
      <c r="L23" s="14" t="inlineStr">
        <is>
          <t>—</t>
        </is>
      </c>
      <c r="M23" s="18" t="n">
        <v>4.888e-13</v>
      </c>
      <c r="N23" s="14" t="inlineStr">
        <is>
          <t>—</t>
        </is>
      </c>
      <c r="O23" s="14" t="inlineStr">
        <is>
          <t>—</t>
        </is>
      </c>
      <c r="P23" s="18" t="n">
        <v>0.0009</v>
      </c>
      <c r="Q23" s="14" t="inlineStr">
        <is>
          <t>—</t>
        </is>
      </c>
      <c r="R23" s="14" t="inlineStr">
        <is>
          <t>—</t>
        </is>
      </c>
      <c r="S23" s="14" t="inlineStr">
        <is>
          <t>—</t>
        </is>
      </c>
      <c r="T23" s="14" t="inlineStr">
        <is>
          <t>—</t>
        </is>
      </c>
      <c r="U23" s="14" t="inlineStr">
        <is>
          <t>—</t>
        </is>
      </c>
      <c r="V23" s="14" t="inlineStr">
        <is>
          <t>—</t>
        </is>
      </c>
      <c r="W23" s="14" t="inlineStr">
        <is>
          <t>—</t>
        </is>
      </c>
      <c r="X23" s="14" t="inlineStr">
        <is>
          <t>—</t>
        </is>
      </c>
      <c r="Y23" s="14" t="inlineStr">
        <is>
          <t>—</t>
        </is>
      </c>
      <c r="Z23" s="19" t="inlineStr">
        <is>
          <t>Pressure dependence exponent n = [0.91, 1.10]. Uncertainty = (-0.4, +0.4) × 1.04e-7.</t>
        </is>
      </c>
    </row>
    <row r="24" ht="28" customHeight="1">
      <c r="A24" s="264" t="inlineStr">
        <is>
          <t>Incoloy800_oxidized_Strehlow1974_tableII_804K</t>
        </is>
      </c>
      <c r="B24" s="264" t="inlineStr">
        <is>
          <t>Strehlow &amp; Savage 1974. DOI: 10.13182/NT74-A16282. TABLE II</t>
        </is>
      </c>
      <c r="C24" s="264" t="inlineStr">
        <is>
          <t>D₂</t>
        </is>
      </c>
      <c r="D24" s="12" t="n">
        <v>804</v>
      </c>
      <c r="E24" s="14" t="inlineStr">
        <is>
          <t>—</t>
        </is>
      </c>
      <c r="F24" s="14" t="inlineStr">
        <is>
          <t>—</t>
        </is>
      </c>
      <c r="G24" s="14" t="inlineStr">
        <is>
          <t>—</t>
        </is>
      </c>
      <c r="H24" s="14" t="inlineStr">
        <is>
          <t>—</t>
        </is>
      </c>
      <c r="I24" s="14" t="inlineStr">
        <is>
          <t>—</t>
        </is>
      </c>
      <c r="J24" s="14" t="inlineStr">
        <is>
          <t>—</t>
        </is>
      </c>
      <c r="K24" s="14" t="inlineStr">
        <is>
          <t>—</t>
        </is>
      </c>
      <c r="L24" s="14" t="inlineStr">
        <is>
          <t>—</t>
        </is>
      </c>
      <c r="M24" s="13" t="n">
        <v>6.552e-11</v>
      </c>
      <c r="N24" s="14" t="inlineStr">
        <is>
          <t>—</t>
        </is>
      </c>
      <c r="O24" s="14" t="inlineStr">
        <is>
          <t>—</t>
        </is>
      </c>
      <c r="P24" s="13" t="n">
        <v>0.0009</v>
      </c>
      <c r="Q24" s="14" t="inlineStr">
        <is>
          <t>—</t>
        </is>
      </c>
      <c r="R24" s="14" t="inlineStr">
        <is>
          <t>—</t>
        </is>
      </c>
      <c r="S24" s="14" t="inlineStr">
        <is>
          <t>—</t>
        </is>
      </c>
      <c r="T24" s="14" t="inlineStr">
        <is>
          <t>—</t>
        </is>
      </c>
      <c r="U24" s="14" t="inlineStr">
        <is>
          <t>—</t>
        </is>
      </c>
      <c r="V24" s="14" t="inlineStr">
        <is>
          <t>—</t>
        </is>
      </c>
      <c r="W24" s="14" t="inlineStr">
        <is>
          <t>—</t>
        </is>
      </c>
      <c r="X24" s="14" t="inlineStr">
        <is>
          <t>—</t>
        </is>
      </c>
      <c r="Y24" s="14" t="inlineStr">
        <is>
          <t>—</t>
        </is>
      </c>
      <c r="Z24" s="15" t="inlineStr">
        <is>
          <t>Pressure dependence exponent n = [0.49, 0.53]. Uncertainty = (-0.4, +0.4) × 1.04e-7.</t>
        </is>
      </c>
    </row>
    <row r="25" ht="28" customHeight="1">
      <c r="A25" s="262" t="inlineStr">
        <is>
          <t>CroloyT9_oxidized_Strehlow1974_tableII_846K</t>
        </is>
      </c>
      <c r="B25" s="262" t="inlineStr">
        <is>
          <t>Strehlow &amp; Savage 1974. DOI: 10.13182/NT74-A16282. TABLE II</t>
        </is>
      </c>
      <c r="C25" s="262" t="inlineStr">
        <is>
          <t>D₂</t>
        </is>
      </c>
      <c r="D25" s="17" t="n">
        <v>846</v>
      </c>
      <c r="E25" s="14" t="inlineStr">
        <is>
          <t>—</t>
        </is>
      </c>
      <c r="F25" s="14" t="inlineStr">
        <is>
          <t>—</t>
        </is>
      </c>
      <c r="G25" s="14" t="inlineStr">
        <is>
          <t>—</t>
        </is>
      </c>
      <c r="H25" s="14" t="inlineStr">
        <is>
          <t>—</t>
        </is>
      </c>
      <c r="I25" s="14" t="inlineStr">
        <is>
          <t>—</t>
        </is>
      </c>
      <c r="J25" s="14" t="inlineStr">
        <is>
          <t>—</t>
        </is>
      </c>
      <c r="K25" s="14" t="inlineStr">
        <is>
          <t>—</t>
        </is>
      </c>
      <c r="L25" s="14" t="inlineStr">
        <is>
          <t>—</t>
        </is>
      </c>
      <c r="M25" s="18" t="n">
        <v>6.864e-12</v>
      </c>
      <c r="N25" s="14" t="inlineStr">
        <is>
          <t>—</t>
        </is>
      </c>
      <c r="O25" s="14" t="inlineStr">
        <is>
          <t>—</t>
        </is>
      </c>
      <c r="P25" s="18" t="n">
        <v>0.0009</v>
      </c>
      <c r="Q25" s="14" t="inlineStr">
        <is>
          <t>—</t>
        </is>
      </c>
      <c r="R25" s="14" t="inlineStr">
        <is>
          <t>—</t>
        </is>
      </c>
      <c r="S25" s="14" t="inlineStr">
        <is>
          <t>—</t>
        </is>
      </c>
      <c r="T25" s="14" t="inlineStr">
        <is>
          <t>—</t>
        </is>
      </c>
      <c r="U25" s="14" t="inlineStr">
        <is>
          <t>—</t>
        </is>
      </c>
      <c r="V25" s="14" t="inlineStr">
        <is>
          <t>—</t>
        </is>
      </c>
      <c r="W25" s="14" t="inlineStr">
        <is>
          <t>—</t>
        </is>
      </c>
      <c r="X25" s="14" t="inlineStr">
        <is>
          <t>—</t>
        </is>
      </c>
      <c r="Y25" s="14" t="inlineStr">
        <is>
          <t>—</t>
        </is>
      </c>
      <c r="Z25" s="19" t="inlineStr">
        <is>
          <t>Pressure dependence exponent n = [0.63, 0.73]. Uncertainty = (-0.5, +0.5) × 1.04e-7.</t>
        </is>
      </c>
    </row>
    <row r="26" ht="28" customHeight="1">
      <c r="A26" s="264" t="inlineStr">
        <is>
          <t>CroloyT9_oxidized_Strehlow1974_tableII_843K</t>
        </is>
      </c>
      <c r="B26" s="264" t="inlineStr">
        <is>
          <t>Strehlow &amp; Savage 1974. DOI: 10.13182/NT74-A16282. TABLE II</t>
        </is>
      </c>
      <c r="C26" s="264" t="inlineStr">
        <is>
          <t>D₂</t>
        </is>
      </c>
      <c r="D26" s="12" t="n">
        <v>843</v>
      </c>
      <c r="E26" s="14" t="inlineStr">
        <is>
          <t>—</t>
        </is>
      </c>
      <c r="F26" s="14" t="inlineStr">
        <is>
          <t>—</t>
        </is>
      </c>
      <c r="G26" s="14" t="inlineStr">
        <is>
          <t>—</t>
        </is>
      </c>
      <c r="H26" s="14" t="inlineStr">
        <is>
          <t>—</t>
        </is>
      </c>
      <c r="I26" s="14" t="inlineStr">
        <is>
          <t>—</t>
        </is>
      </c>
      <c r="J26" s="14" t="inlineStr">
        <is>
          <t>—</t>
        </is>
      </c>
      <c r="K26" s="14" t="inlineStr">
        <is>
          <t>—</t>
        </is>
      </c>
      <c r="L26" s="14" t="inlineStr">
        <is>
          <t>—</t>
        </is>
      </c>
      <c r="M26" s="13" t="n">
        <v>5.928e-13</v>
      </c>
      <c r="N26" s="14" t="inlineStr">
        <is>
          <t>—</t>
        </is>
      </c>
      <c r="O26" s="14" t="inlineStr">
        <is>
          <t>—</t>
        </is>
      </c>
      <c r="P26" s="13" t="n">
        <v>0.0009</v>
      </c>
      <c r="Q26" s="14" t="inlineStr">
        <is>
          <t>—</t>
        </is>
      </c>
      <c r="R26" s="14" t="inlineStr">
        <is>
          <t>—</t>
        </is>
      </c>
      <c r="S26" s="14" t="inlineStr">
        <is>
          <t>—</t>
        </is>
      </c>
      <c r="T26" s="14" t="inlineStr">
        <is>
          <t>—</t>
        </is>
      </c>
      <c r="U26" s="14" t="inlineStr">
        <is>
          <t>—</t>
        </is>
      </c>
      <c r="V26" s="14" t="inlineStr">
        <is>
          <t>—</t>
        </is>
      </c>
      <c r="W26" s="14" t="inlineStr">
        <is>
          <t>—</t>
        </is>
      </c>
      <c r="X26" s="14" t="inlineStr">
        <is>
          <t>—</t>
        </is>
      </c>
      <c r="Y26" s="14" t="inlineStr">
        <is>
          <t>—</t>
        </is>
      </c>
      <c r="Z26" s="15" t="inlineStr">
        <is>
          <t>Pressure dependence exponent n = [0.83, 0.88]. Uncertainty = (-0.4, +0.4) × 1.04e-7.</t>
        </is>
      </c>
    </row>
    <row r="27" ht="28" customHeight="1">
      <c r="A27" s="262" t="inlineStr">
        <is>
          <t>CroloyT22_unoxidized_Strehlow1974_tableII_558K</t>
        </is>
      </c>
      <c r="B27" s="262" t="inlineStr">
        <is>
          <t>Strehlow &amp; Savage 1974. DOI: 10.13182/NT74-A16282. TABLE II</t>
        </is>
      </c>
      <c r="C27" s="262" t="inlineStr">
        <is>
          <t>D₂</t>
        </is>
      </c>
      <c r="D27" s="17" t="n">
        <v>558</v>
      </c>
      <c r="E27" s="14" t="inlineStr">
        <is>
          <t>—</t>
        </is>
      </c>
      <c r="F27" s="14" t="inlineStr">
        <is>
          <t>—</t>
        </is>
      </c>
      <c r="G27" s="14" t="inlineStr">
        <is>
          <t>—</t>
        </is>
      </c>
      <c r="H27" s="14" t="inlineStr">
        <is>
          <t>—</t>
        </is>
      </c>
      <c r="I27" s="14" t="inlineStr">
        <is>
          <t>—</t>
        </is>
      </c>
      <c r="J27" s="14" t="inlineStr">
        <is>
          <t>—</t>
        </is>
      </c>
      <c r="K27" s="14" t="inlineStr">
        <is>
          <t>—</t>
        </is>
      </c>
      <c r="L27" s="14" t="inlineStr">
        <is>
          <t>—</t>
        </is>
      </c>
      <c r="M27" s="18" t="n">
        <v>1.872e-11</v>
      </c>
      <c r="N27" s="14" t="inlineStr">
        <is>
          <t>—</t>
        </is>
      </c>
      <c r="O27" s="14" t="inlineStr">
        <is>
          <t>—</t>
        </is>
      </c>
      <c r="P27" s="18" t="n">
        <v>0.0009</v>
      </c>
      <c r="Q27" s="14" t="inlineStr">
        <is>
          <t>—</t>
        </is>
      </c>
      <c r="R27" s="14" t="inlineStr">
        <is>
          <t>—</t>
        </is>
      </c>
      <c r="S27" s="14" t="inlineStr">
        <is>
          <t>—</t>
        </is>
      </c>
      <c r="T27" s="14" t="inlineStr">
        <is>
          <t>—</t>
        </is>
      </c>
      <c r="U27" s="14" t="inlineStr">
        <is>
          <t>—</t>
        </is>
      </c>
      <c r="V27" s="14" t="inlineStr">
        <is>
          <t>—</t>
        </is>
      </c>
      <c r="W27" s="14" t="inlineStr">
        <is>
          <t>—</t>
        </is>
      </c>
      <c r="X27" s="14" t="inlineStr">
        <is>
          <t>—</t>
        </is>
      </c>
      <c r="Y27" s="14" t="inlineStr">
        <is>
          <t>—</t>
        </is>
      </c>
      <c r="Z27" s="19" t="inlineStr">
        <is>
          <t>Pressure dependence exponent n = [0.66, 0.68]. Uncertainty = (-0.1, +0.1) × 1.04e-7.</t>
        </is>
      </c>
    </row>
    <row r="28" ht="28" customHeight="1">
      <c r="A28" s="264" t="inlineStr">
        <is>
          <t>CroloyT22_unoxidized_Strehlow1974_tableII_853K</t>
        </is>
      </c>
      <c r="B28" s="264" t="inlineStr">
        <is>
          <t>Strehlow &amp; Savage 1974. DOI: 10.13182/NT74-A16282. TABLE II</t>
        </is>
      </c>
      <c r="C28" s="264" t="inlineStr">
        <is>
          <t>D₂</t>
        </is>
      </c>
      <c r="D28" s="12" t="n">
        <v>853</v>
      </c>
      <c r="E28" s="14" t="inlineStr">
        <is>
          <t>—</t>
        </is>
      </c>
      <c r="F28" s="14" t="inlineStr">
        <is>
          <t>—</t>
        </is>
      </c>
      <c r="G28" s="14" t="inlineStr">
        <is>
          <t>—</t>
        </is>
      </c>
      <c r="H28" s="14" t="inlineStr">
        <is>
          <t>—</t>
        </is>
      </c>
      <c r="I28" s="14" t="inlineStr">
        <is>
          <t>—</t>
        </is>
      </c>
      <c r="J28" s="14" t="inlineStr">
        <is>
          <t>—</t>
        </is>
      </c>
      <c r="K28" s="14" t="inlineStr">
        <is>
          <t>—</t>
        </is>
      </c>
      <c r="L28" s="14" t="inlineStr">
        <is>
          <t>—</t>
        </is>
      </c>
      <c r="M28" s="13" t="n">
        <v>8.32e-10</v>
      </c>
      <c r="N28" s="14" t="inlineStr">
        <is>
          <t>—</t>
        </is>
      </c>
      <c r="O28" s="14" t="inlineStr">
        <is>
          <t>—</t>
        </is>
      </c>
      <c r="P28" s="13" t="n">
        <v>0.0009</v>
      </c>
      <c r="Q28" s="14" t="inlineStr">
        <is>
          <t>—</t>
        </is>
      </c>
      <c r="R28" s="14" t="inlineStr">
        <is>
          <t>—</t>
        </is>
      </c>
      <c r="S28" s="14" t="inlineStr">
        <is>
          <t>—</t>
        </is>
      </c>
      <c r="T28" s="14" t="inlineStr">
        <is>
          <t>—</t>
        </is>
      </c>
      <c r="U28" s="14" t="inlineStr">
        <is>
          <t>—</t>
        </is>
      </c>
      <c r="V28" s="14" t="inlineStr">
        <is>
          <t>—</t>
        </is>
      </c>
      <c r="W28" s="14" t="inlineStr">
        <is>
          <t>—</t>
        </is>
      </c>
      <c r="X28" s="14" t="inlineStr">
        <is>
          <t>—</t>
        </is>
      </c>
      <c r="Y28" s="14" t="inlineStr">
        <is>
          <t>—</t>
        </is>
      </c>
      <c r="Z28" s="15" t="inlineStr">
        <is>
          <t>Pressure dependence exponent n = [0.55, 0.57]. Uncertainty = (-0.1, +0.1) × 1.04e-7.</t>
        </is>
      </c>
    </row>
    <row r="29" ht="28" customHeight="1">
      <c r="A29" s="262" t="inlineStr">
        <is>
          <t>CroloyT22_oxidized_Strehlow1974_tableII_853K</t>
        </is>
      </c>
      <c r="B29" s="262" t="inlineStr">
        <is>
          <t>Strehlow &amp; Savage 1974. DOI: 10.13182/NT74-A16282. TABLE II</t>
        </is>
      </c>
      <c r="C29" s="262" t="inlineStr">
        <is>
          <t>D₂</t>
        </is>
      </c>
      <c r="D29" s="17" t="n">
        <v>853</v>
      </c>
      <c r="E29" s="14" t="inlineStr">
        <is>
          <t>—</t>
        </is>
      </c>
      <c r="F29" s="14" t="inlineStr">
        <is>
          <t>—</t>
        </is>
      </c>
      <c r="G29" s="14" t="inlineStr">
        <is>
          <t>—</t>
        </is>
      </c>
      <c r="H29" s="14" t="inlineStr">
        <is>
          <t>—</t>
        </is>
      </c>
      <c r="I29" s="14" t="inlineStr">
        <is>
          <t>—</t>
        </is>
      </c>
      <c r="J29" s="14" t="inlineStr">
        <is>
          <t>—</t>
        </is>
      </c>
      <c r="K29" s="14" t="inlineStr">
        <is>
          <t>—</t>
        </is>
      </c>
      <c r="L29" s="14" t="inlineStr">
        <is>
          <t>—</t>
        </is>
      </c>
      <c r="M29" s="18" t="n">
        <v>6.24e-10</v>
      </c>
      <c r="N29" s="14" t="inlineStr">
        <is>
          <t>—</t>
        </is>
      </c>
      <c r="O29" s="14" t="inlineStr">
        <is>
          <t>—</t>
        </is>
      </c>
      <c r="P29" s="18" t="n">
        <v>0.0009</v>
      </c>
      <c r="Q29" s="14" t="inlineStr">
        <is>
          <t>—</t>
        </is>
      </c>
      <c r="R29" s="14" t="inlineStr">
        <is>
          <t>—</t>
        </is>
      </c>
      <c r="S29" s="14" t="inlineStr">
        <is>
          <t>—</t>
        </is>
      </c>
      <c r="T29" s="14" t="inlineStr">
        <is>
          <t>—</t>
        </is>
      </c>
      <c r="U29" s="14" t="inlineStr">
        <is>
          <t>—</t>
        </is>
      </c>
      <c r="V29" s="14" t="inlineStr">
        <is>
          <t>—</t>
        </is>
      </c>
      <c r="W29" s="14" t="inlineStr">
        <is>
          <t>—</t>
        </is>
      </c>
      <c r="X29" s="14" t="inlineStr">
        <is>
          <t>—</t>
        </is>
      </c>
      <c r="Y29" s="14" t="inlineStr">
        <is>
          <t>—</t>
        </is>
      </c>
      <c r="Z29" s="19" t="inlineStr">
        <is>
          <t>Pressure dependence exponent n = [0.57, 0.61]. Uncertainty = (-0.1, +0.1) × 1.04e-7.</t>
        </is>
      </c>
    </row>
    <row r="30" ht="28" customHeight="1">
      <c r="A30" s="264" t="inlineStr">
        <is>
          <t>Incoloy800_unoxidized_Rohrig1975_1173K</t>
        </is>
      </c>
      <c r="B30" s="264" t="inlineStr">
        <is>
          <t>Rohrig et al. 1975</t>
        </is>
      </c>
      <c r="C30" s="264" t="inlineStr">
        <is>
          <t>D₂</t>
        </is>
      </c>
      <c r="D30" s="12" t="n">
        <v>1173</v>
      </c>
      <c r="E30" s="14" t="inlineStr">
        <is>
          <t>—</t>
        </is>
      </c>
      <c r="F30" s="14" t="inlineStr">
        <is>
          <t>—</t>
        </is>
      </c>
      <c r="G30" s="14" t="inlineStr">
        <is>
          <t>—</t>
        </is>
      </c>
      <c r="H30" s="14" t="inlineStr">
        <is>
          <t>—</t>
        </is>
      </c>
      <c r="I30" s="14" t="inlineStr">
        <is>
          <t>—</t>
        </is>
      </c>
      <c r="J30" s="14" t="inlineStr">
        <is>
          <t>—</t>
        </is>
      </c>
      <c r="K30" s="14" t="inlineStr">
        <is>
          <t>—</t>
        </is>
      </c>
      <c r="L30" s="14" t="inlineStr">
        <is>
          <t>—</t>
        </is>
      </c>
      <c r="M30" s="13" t="n">
        <v>2.397e-10</v>
      </c>
      <c r="N30" s="12" t="n">
        <v>74056</v>
      </c>
      <c r="O30" s="13" t="n">
        <v>4.4415e-07</v>
      </c>
      <c r="P30" s="12" t="n">
        <v>0.0033</v>
      </c>
      <c r="Q30" s="14" t="inlineStr">
        <is>
          <t>—</t>
        </is>
      </c>
      <c r="R30" s="14" t="inlineStr">
        <is>
          <t>—</t>
        </is>
      </c>
      <c r="S30" s="14" t="inlineStr">
        <is>
          <t>—</t>
        </is>
      </c>
      <c r="T30" s="14" t="inlineStr">
        <is>
          <t>—</t>
        </is>
      </c>
      <c r="U30" s="14" t="inlineStr">
        <is>
          <t>—</t>
        </is>
      </c>
      <c r="V30" s="14" t="inlineStr">
        <is>
          <t>—</t>
        </is>
      </c>
      <c r="W30" s="14" t="inlineStr">
        <is>
          <t>—</t>
        </is>
      </c>
      <c r="X30" s="14" t="inlineStr">
        <is>
          <t>—</t>
        </is>
      </c>
      <c r="Y30" s="14" t="inlineStr">
        <is>
          <t>—</t>
        </is>
      </c>
      <c r="Z30" s="20" t="inlineStr">
        <is>
          <t>—</t>
        </is>
      </c>
    </row>
    <row r="31" ht="28" customHeight="1">
      <c r="A31" s="262" t="inlineStr">
        <is>
          <t>Incoloy800_oxidized_Rohrig1975_1173K_v1</t>
        </is>
      </c>
      <c r="B31" s="262" t="inlineStr">
        <is>
          <t>Rohrig et al. 1975</t>
        </is>
      </c>
      <c r="C31" s="262" t="inlineStr">
        <is>
          <t>D₂</t>
        </is>
      </c>
      <c r="D31" s="17" t="n">
        <v>1173</v>
      </c>
      <c r="E31" s="14" t="inlineStr">
        <is>
          <t>—</t>
        </is>
      </c>
      <c r="F31" s="14" t="inlineStr">
        <is>
          <t>—</t>
        </is>
      </c>
      <c r="G31" s="14" t="inlineStr">
        <is>
          <t>—</t>
        </is>
      </c>
      <c r="H31" s="14" t="inlineStr">
        <is>
          <t>—</t>
        </is>
      </c>
      <c r="I31" s="14" t="inlineStr">
        <is>
          <t>—</t>
        </is>
      </c>
      <c r="J31" s="14" t="inlineStr">
        <is>
          <t>—</t>
        </is>
      </c>
      <c r="K31" s="14" t="inlineStr">
        <is>
          <t>—</t>
        </is>
      </c>
      <c r="L31" s="14" t="inlineStr">
        <is>
          <t>—</t>
        </is>
      </c>
      <c r="M31" s="18" t="n">
        <v>2.397e-10</v>
      </c>
      <c r="N31" s="17" t="n">
        <v>74056</v>
      </c>
      <c r="O31" s="18" t="n">
        <v>4.4415e-07</v>
      </c>
      <c r="P31" s="17" t="n">
        <v>0.0033</v>
      </c>
      <c r="Q31" s="14" t="inlineStr">
        <is>
          <t>—</t>
        </is>
      </c>
      <c r="R31" s="14" t="inlineStr">
        <is>
          <t>—</t>
        </is>
      </c>
      <c r="S31" s="14" t="inlineStr">
        <is>
          <t>—</t>
        </is>
      </c>
      <c r="T31" s="14" t="inlineStr">
        <is>
          <t>—</t>
        </is>
      </c>
      <c r="U31" s="14" t="inlineStr">
        <is>
          <t>—</t>
        </is>
      </c>
      <c r="V31" s="14" t="inlineStr">
        <is>
          <t>—</t>
        </is>
      </c>
      <c r="W31" s="14" t="inlineStr">
        <is>
          <t>—</t>
        </is>
      </c>
      <c r="X31" s="14" t="inlineStr">
        <is>
          <t>—</t>
        </is>
      </c>
      <c r="Y31" s="14" t="inlineStr">
        <is>
          <t>—</t>
        </is>
      </c>
      <c r="Z31" s="20" t="inlineStr">
        <is>
          <t>—</t>
        </is>
      </c>
    </row>
    <row r="32" ht="28" customHeight="1">
      <c r="A32" s="264" t="inlineStr">
        <is>
          <t>Incoloy800_oxidized_Rohrig1975_1173K_v2</t>
        </is>
      </c>
      <c r="B32" s="264" t="inlineStr">
        <is>
          <t>Rohrig et al. 1975</t>
        </is>
      </c>
      <c r="C32" s="264" t="inlineStr">
        <is>
          <t>D₂</t>
        </is>
      </c>
      <c r="D32" s="12" t="n">
        <v>1173</v>
      </c>
      <c r="E32" s="12" t="n">
        <v>873</v>
      </c>
      <c r="F32" s="12" t="n">
        <v>1223</v>
      </c>
      <c r="G32" s="14" t="inlineStr">
        <is>
          <t>—</t>
        </is>
      </c>
      <c r="H32" s="14" t="inlineStr">
        <is>
          <t>—</t>
        </is>
      </c>
      <c r="I32" s="14" t="inlineStr">
        <is>
          <t>—</t>
        </is>
      </c>
      <c r="J32" s="14" t="inlineStr">
        <is>
          <t>—</t>
        </is>
      </c>
      <c r="K32" s="14" t="inlineStr">
        <is>
          <t>—</t>
        </is>
      </c>
      <c r="L32" s="14" t="inlineStr">
        <is>
          <t>—</t>
        </is>
      </c>
      <c r="M32" s="13" t="n">
        <v>5.499e-10</v>
      </c>
      <c r="N32" s="12" t="n">
        <v>74056</v>
      </c>
      <c r="O32" s="13" t="n">
        <v>1.049e-06</v>
      </c>
      <c r="P32" s="12" t="n">
        <v>0.0033</v>
      </c>
      <c r="Q32" s="14" t="inlineStr">
        <is>
          <t>—</t>
        </is>
      </c>
      <c r="R32" s="14" t="inlineStr">
        <is>
          <t>—</t>
        </is>
      </c>
      <c r="S32" s="14" t="inlineStr">
        <is>
          <t>—</t>
        </is>
      </c>
      <c r="T32" s="14" t="inlineStr">
        <is>
          <t>—</t>
        </is>
      </c>
      <c r="U32" s="14" t="inlineStr">
        <is>
          <t>—</t>
        </is>
      </c>
      <c r="V32" s="14" t="inlineStr">
        <is>
          <t>—</t>
        </is>
      </c>
      <c r="W32" s="14" t="inlineStr">
        <is>
          <t>—</t>
        </is>
      </c>
      <c r="X32" s="14" t="inlineStr">
        <is>
          <t>—</t>
        </is>
      </c>
      <c r="Y32" s="14" t="inlineStr">
        <is>
          <t>—</t>
        </is>
      </c>
      <c r="Z32" s="20" t="inlineStr">
        <is>
          <t>—</t>
        </is>
      </c>
    </row>
    <row r="33" ht="28" customHeight="1">
      <c r="A33" s="262" t="inlineStr">
        <is>
          <t>Incoloy600_oxidized_Rohrig1975_1173K</t>
        </is>
      </c>
      <c r="B33" s="262" t="inlineStr">
        <is>
          <t>Rohrig et al. 1975</t>
        </is>
      </c>
      <c r="C33" s="262" t="inlineStr">
        <is>
          <t>D₂</t>
        </is>
      </c>
      <c r="D33" s="17" t="n">
        <v>1173</v>
      </c>
      <c r="E33" s="17" t="n">
        <v>973</v>
      </c>
      <c r="F33" s="17" t="n">
        <v>1223</v>
      </c>
      <c r="G33" s="14" t="inlineStr">
        <is>
          <t>—</t>
        </is>
      </c>
      <c r="H33" s="14" t="inlineStr">
        <is>
          <t>—</t>
        </is>
      </c>
      <c r="I33" s="14" t="inlineStr">
        <is>
          <t>—</t>
        </is>
      </c>
      <c r="J33" s="14" t="inlineStr">
        <is>
          <t>—</t>
        </is>
      </c>
      <c r="K33" s="14" t="inlineStr">
        <is>
          <t>—</t>
        </is>
      </c>
      <c r="L33" s="14" t="inlineStr">
        <is>
          <t>—</t>
        </is>
      </c>
      <c r="M33" s="18" t="n">
        <v>6.627e-10</v>
      </c>
      <c r="N33" s="17" t="n">
        <v>64015.2</v>
      </c>
      <c r="O33" s="18" t="n">
        <v>4.5402e-07</v>
      </c>
      <c r="P33" s="17" t="n">
        <v>0.0033</v>
      </c>
      <c r="Q33" s="14" t="inlineStr">
        <is>
          <t>—</t>
        </is>
      </c>
      <c r="R33" s="14" t="inlineStr">
        <is>
          <t>—</t>
        </is>
      </c>
      <c r="S33" s="14" t="inlineStr">
        <is>
          <t>—</t>
        </is>
      </c>
      <c r="T33" s="14" t="inlineStr">
        <is>
          <t>—</t>
        </is>
      </c>
      <c r="U33" s="14" t="inlineStr">
        <is>
          <t>—</t>
        </is>
      </c>
      <c r="V33" s="14" t="inlineStr">
        <is>
          <t>—</t>
        </is>
      </c>
      <c r="W33" s="14" t="inlineStr">
        <is>
          <t>—</t>
        </is>
      </c>
      <c r="X33" s="14" t="inlineStr">
        <is>
          <t>—</t>
        </is>
      </c>
      <c r="Y33" s="14" t="inlineStr">
        <is>
          <t>—</t>
        </is>
      </c>
      <c r="Z33" s="20" t="inlineStr">
        <is>
          <t>—</t>
        </is>
      </c>
    </row>
    <row r="34" ht="28" customHeight="1">
      <c r="A34" s="264" t="inlineStr">
        <is>
          <t>304L_SS_Rohrig1975_1173K</t>
        </is>
      </c>
      <c r="B34" s="264" t="inlineStr">
        <is>
          <t>Rohrig et al. 1975</t>
        </is>
      </c>
      <c r="C34" s="264" t="inlineStr">
        <is>
          <t>D₂</t>
        </is>
      </c>
      <c r="D34" s="12" t="n">
        <v>1173</v>
      </c>
      <c r="E34" s="12" t="n">
        <v>973</v>
      </c>
      <c r="F34" s="12" t="n">
        <v>1173</v>
      </c>
      <c r="G34" s="14" t="inlineStr">
        <is>
          <t>—</t>
        </is>
      </c>
      <c r="H34" s="14" t="inlineStr">
        <is>
          <t>—</t>
        </is>
      </c>
      <c r="I34" s="14" t="inlineStr">
        <is>
          <t>—</t>
        </is>
      </c>
      <c r="J34" s="14" t="inlineStr">
        <is>
          <t>—</t>
        </is>
      </c>
      <c r="K34" s="14" t="inlineStr">
        <is>
          <t>—</t>
        </is>
      </c>
      <c r="L34" s="14" t="inlineStr">
        <is>
          <t>—</t>
        </is>
      </c>
      <c r="M34" s="13" t="n">
        <v>1.1844e-10</v>
      </c>
      <c r="N34" s="12" t="n">
        <v>73220</v>
      </c>
      <c r="O34" s="13" t="n">
        <v>2.0445e-07</v>
      </c>
      <c r="P34" s="12" t="n">
        <v>0.0033</v>
      </c>
      <c r="Q34" s="14" t="inlineStr">
        <is>
          <t>—</t>
        </is>
      </c>
      <c r="R34" s="14" t="inlineStr">
        <is>
          <t>—</t>
        </is>
      </c>
      <c r="S34" s="14" t="inlineStr">
        <is>
          <t>—</t>
        </is>
      </c>
      <c r="T34" s="14" t="inlineStr">
        <is>
          <t>—</t>
        </is>
      </c>
      <c r="U34" s="14" t="inlineStr">
        <is>
          <t>—</t>
        </is>
      </c>
      <c r="V34" s="14" t="inlineStr">
        <is>
          <t>—</t>
        </is>
      </c>
      <c r="W34" s="14" t="inlineStr">
        <is>
          <t>—</t>
        </is>
      </c>
      <c r="X34" s="14" t="inlineStr">
        <is>
          <t>—</t>
        </is>
      </c>
      <c r="Y34" s="14" t="inlineStr">
        <is>
          <t>—</t>
        </is>
      </c>
      <c r="Z34" s="20" t="inlineStr">
        <is>
          <t>—</t>
        </is>
      </c>
    </row>
    <row r="35" ht="28" customHeight="1">
      <c r="A35" s="262" t="inlineStr">
        <is>
          <t>X15_CrNiSi_2520_oxidized_Rohrig1975_1173K</t>
        </is>
      </c>
      <c r="B35" s="262" t="inlineStr">
        <is>
          <t>Rohrig et al. 1975</t>
        </is>
      </c>
      <c r="C35" s="262" t="inlineStr">
        <is>
          <t>D₂</t>
        </is>
      </c>
      <c r="D35" s="17" t="n">
        <v>1173</v>
      </c>
      <c r="E35" s="17" t="n">
        <v>773</v>
      </c>
      <c r="F35" s="17" t="n">
        <v>1223</v>
      </c>
      <c r="G35" s="14" t="inlineStr">
        <is>
          <t>—</t>
        </is>
      </c>
      <c r="H35" s="14" t="inlineStr">
        <is>
          <t>—</t>
        </is>
      </c>
      <c r="I35" s="14" t="inlineStr">
        <is>
          <t>—</t>
        </is>
      </c>
      <c r="J35" s="14" t="inlineStr">
        <is>
          <t>—</t>
        </is>
      </c>
      <c r="K35" s="14" t="inlineStr">
        <is>
          <t>—</t>
        </is>
      </c>
      <c r="L35" s="14" t="inlineStr">
        <is>
          <t>—</t>
        </is>
      </c>
      <c r="M35" s="18" t="n">
        <v>3.807e-10</v>
      </c>
      <c r="N35" s="17" t="n">
        <v>64852</v>
      </c>
      <c r="O35" s="18" t="n">
        <v>2.82e-10</v>
      </c>
      <c r="P35" s="17" t="n">
        <v>0.0033</v>
      </c>
      <c r="Q35" s="14" t="inlineStr">
        <is>
          <t>—</t>
        </is>
      </c>
      <c r="R35" s="14" t="inlineStr">
        <is>
          <t>—</t>
        </is>
      </c>
      <c r="S35" s="14" t="inlineStr">
        <is>
          <t>—</t>
        </is>
      </c>
      <c r="T35" s="14" t="inlineStr">
        <is>
          <t>—</t>
        </is>
      </c>
      <c r="U35" s="14" t="inlineStr">
        <is>
          <t>—</t>
        </is>
      </c>
      <c r="V35" s="14" t="inlineStr">
        <is>
          <t>—</t>
        </is>
      </c>
      <c r="W35" s="14" t="inlineStr">
        <is>
          <t>—</t>
        </is>
      </c>
      <c r="X35" s="14" t="inlineStr">
        <is>
          <t>—</t>
        </is>
      </c>
      <c r="Y35" s="14" t="inlineStr">
        <is>
          <t>—</t>
        </is>
      </c>
      <c r="Z35" s="20" t="inlineStr">
        <is>
          <t>—</t>
        </is>
      </c>
    </row>
    <row r="36" ht="28" customHeight="1">
      <c r="A36" s="264" t="inlineStr">
        <is>
          <t>Hastelloy_N_oxidized_Rohrig1975_1173K_v1</t>
        </is>
      </c>
      <c r="B36" s="264" t="inlineStr">
        <is>
          <t>Rohrig et al. 1975</t>
        </is>
      </c>
      <c r="C36" s="264" t="inlineStr">
        <is>
          <t>D₂</t>
        </is>
      </c>
      <c r="D36" s="12" t="n">
        <v>1173</v>
      </c>
      <c r="E36" s="12" t="n">
        <v>773</v>
      </c>
      <c r="F36" s="12" t="n">
        <v>1223</v>
      </c>
      <c r="G36" s="14" t="inlineStr">
        <is>
          <t>—</t>
        </is>
      </c>
      <c r="H36" s="14" t="inlineStr">
        <is>
          <t>—</t>
        </is>
      </c>
      <c r="I36" s="14" t="inlineStr">
        <is>
          <t>—</t>
        </is>
      </c>
      <c r="J36" s="14" t="inlineStr">
        <is>
          <t>—</t>
        </is>
      </c>
      <c r="K36" s="14" t="inlineStr">
        <is>
          <t>—</t>
        </is>
      </c>
      <c r="L36" s="14" t="inlineStr">
        <is>
          <t>—</t>
        </is>
      </c>
      <c r="M36" s="13" t="n">
        <v>4.23e-10</v>
      </c>
      <c r="N36" s="12" t="n">
        <v>77947.92</v>
      </c>
      <c r="O36" s="13" t="n">
        <v>1.173e-06</v>
      </c>
      <c r="P36" s="12" t="n">
        <v>0.0033</v>
      </c>
      <c r="Q36" s="14" t="inlineStr">
        <is>
          <t>—</t>
        </is>
      </c>
      <c r="R36" s="14" t="inlineStr">
        <is>
          <t>—</t>
        </is>
      </c>
      <c r="S36" s="14" t="inlineStr">
        <is>
          <t>—</t>
        </is>
      </c>
      <c r="T36" s="14" t="inlineStr">
        <is>
          <t>—</t>
        </is>
      </c>
      <c r="U36" s="14" t="inlineStr">
        <is>
          <t>—</t>
        </is>
      </c>
      <c r="V36" s="14" t="inlineStr">
        <is>
          <t>—</t>
        </is>
      </c>
      <c r="W36" s="14" t="inlineStr">
        <is>
          <t>—</t>
        </is>
      </c>
      <c r="X36" s="14" t="inlineStr">
        <is>
          <t>—</t>
        </is>
      </c>
      <c r="Y36" s="14" t="inlineStr">
        <is>
          <t>—</t>
        </is>
      </c>
      <c r="Z36" s="20" t="inlineStr">
        <is>
          <t>—</t>
        </is>
      </c>
    </row>
    <row r="37" ht="28" customHeight="1">
      <c r="A37" s="262" t="inlineStr">
        <is>
          <t>Hastelloy_N_oxidized_Rohrig1975_1173K_v2</t>
        </is>
      </c>
      <c r="B37" s="262" t="inlineStr">
        <is>
          <t>Rohrig et al. 1975</t>
        </is>
      </c>
      <c r="C37" s="262" t="inlineStr">
        <is>
          <t>D₂</t>
        </is>
      </c>
      <c r="D37" s="17" t="n">
        <v>1173</v>
      </c>
      <c r="E37" s="17" t="n">
        <v>773</v>
      </c>
      <c r="F37" s="17" t="n">
        <v>1223</v>
      </c>
      <c r="G37" s="14" t="inlineStr">
        <is>
          <t>—</t>
        </is>
      </c>
      <c r="H37" s="14" t="inlineStr">
        <is>
          <t>—</t>
        </is>
      </c>
      <c r="I37" s="14" t="inlineStr">
        <is>
          <t>—</t>
        </is>
      </c>
      <c r="J37" s="14" t="inlineStr">
        <is>
          <t>—</t>
        </is>
      </c>
      <c r="K37" s="14" t="inlineStr">
        <is>
          <t>—</t>
        </is>
      </c>
      <c r="L37" s="14" t="inlineStr">
        <is>
          <t>—</t>
        </is>
      </c>
      <c r="M37" s="18" t="n">
        <v>4.23e-10</v>
      </c>
      <c r="N37" s="17" t="n">
        <v>77947.92</v>
      </c>
      <c r="O37" s="18" t="n">
        <v>1.173e-06</v>
      </c>
      <c r="P37" s="17" t="n">
        <v>0.0033</v>
      </c>
      <c r="Q37" s="14" t="inlineStr">
        <is>
          <t>—</t>
        </is>
      </c>
      <c r="R37" s="14" t="inlineStr">
        <is>
          <t>—</t>
        </is>
      </c>
      <c r="S37" s="14" t="inlineStr">
        <is>
          <t>—</t>
        </is>
      </c>
      <c r="T37" s="14" t="inlineStr">
        <is>
          <t>—</t>
        </is>
      </c>
      <c r="U37" s="14" t="inlineStr">
        <is>
          <t>—</t>
        </is>
      </c>
      <c r="V37" s="14" t="inlineStr">
        <is>
          <t>—</t>
        </is>
      </c>
      <c r="W37" s="14" t="inlineStr">
        <is>
          <t>—</t>
        </is>
      </c>
      <c r="X37" s="14" t="inlineStr">
        <is>
          <t>—</t>
        </is>
      </c>
      <c r="Y37" s="14" t="inlineStr">
        <is>
          <t>—</t>
        </is>
      </c>
      <c r="Z37" s="19" t="inlineStr">
        <is>
          <t>Duplicate entry in source data — identical parameters.</t>
        </is>
      </c>
    </row>
    <row r="38" ht="28" customHeight="1">
      <c r="A38" s="264" t="inlineStr">
        <is>
          <t>Nickel_unoxidized_Rohrig1975_1173K</t>
        </is>
      </c>
      <c r="B38" s="264" t="inlineStr">
        <is>
          <t>Rohrig et al. 1975</t>
        </is>
      </c>
      <c r="C38" s="264" t="inlineStr">
        <is>
          <t>D₂</t>
        </is>
      </c>
      <c r="D38" s="12" t="n">
        <v>1173</v>
      </c>
      <c r="E38" s="12" t="n">
        <v>773</v>
      </c>
      <c r="F38" s="12" t="n">
        <v>1223</v>
      </c>
      <c r="G38" s="14" t="inlineStr">
        <is>
          <t>—</t>
        </is>
      </c>
      <c r="H38" s="14" t="inlineStr">
        <is>
          <t>—</t>
        </is>
      </c>
      <c r="I38" s="14" t="inlineStr">
        <is>
          <t>—</t>
        </is>
      </c>
      <c r="J38" s="14" t="inlineStr">
        <is>
          <t>—</t>
        </is>
      </c>
      <c r="K38" s="14" t="inlineStr">
        <is>
          <t>—</t>
        </is>
      </c>
      <c r="L38" s="14" t="inlineStr">
        <is>
          <t>—</t>
        </is>
      </c>
      <c r="M38" s="13" t="n">
        <v>9.306e-10</v>
      </c>
      <c r="N38" s="12" t="n">
        <v>53555.2</v>
      </c>
      <c r="O38" s="13" t="n">
        <v>2.1714e-07</v>
      </c>
      <c r="P38" s="12" t="n">
        <v>0.0033</v>
      </c>
      <c r="Q38" s="14" t="inlineStr">
        <is>
          <t>—</t>
        </is>
      </c>
      <c r="R38" s="14" t="inlineStr">
        <is>
          <t>—</t>
        </is>
      </c>
      <c r="S38" s="14" t="inlineStr">
        <is>
          <t>—</t>
        </is>
      </c>
      <c r="T38" s="14" t="inlineStr">
        <is>
          <t>—</t>
        </is>
      </c>
      <c r="U38" s="14" t="inlineStr">
        <is>
          <t>—</t>
        </is>
      </c>
      <c r="V38" s="14" t="inlineStr">
        <is>
          <t>—</t>
        </is>
      </c>
      <c r="W38" s="14" t="inlineStr">
        <is>
          <t>—</t>
        </is>
      </c>
      <c r="X38" s="14" t="inlineStr">
        <is>
          <t>—</t>
        </is>
      </c>
      <c r="Y38" s="14" t="inlineStr">
        <is>
          <t>—</t>
        </is>
      </c>
      <c r="Z38" s="20" t="inlineStr">
        <is>
          <t>—</t>
        </is>
      </c>
    </row>
    <row r="39" ht="28" customHeight="1">
      <c r="A39" s="262" t="inlineStr">
        <is>
          <t>metal_316_steel_Grant1988</t>
        </is>
      </c>
      <c r="B39" s="262" t="inlineStr">
        <is>
          <t>Grant et al. 1988 — Hydrogen in 316 steel: diffusion, permeation and surface reaction. DOI: 10.1016/0022-3115(88)90128-7</t>
        </is>
      </c>
      <c r="C39" s="262" t="inlineStr">
        <is>
          <t>H₂</t>
        </is>
      </c>
      <c r="D39" s="17" t="n">
        <v>965</v>
      </c>
      <c r="E39" s="17" t="n">
        <v>502</v>
      </c>
      <c r="F39" s="17" t="n">
        <v>965</v>
      </c>
      <c r="G39" s="18" t="n">
        <v>1.069e-09</v>
      </c>
      <c r="H39" s="17" t="n">
        <v>53292.74</v>
      </c>
      <c r="I39" s="18" t="n">
        <v>8.2e-07</v>
      </c>
      <c r="J39" s="17" t="n">
        <v>0.1295</v>
      </c>
      <c r="K39" s="17" t="n">
        <v>17791.96</v>
      </c>
      <c r="L39" s="17" t="n">
        <v>1.19</v>
      </c>
      <c r="M39" s="18" t="n">
        <v>1.384e-10</v>
      </c>
      <c r="N39" s="17" t="n">
        <v>68756.78</v>
      </c>
      <c r="O39" s="18" t="n">
        <v>8.899999999999999e-07</v>
      </c>
      <c r="P39" s="18" t="n">
        <v>5e-05</v>
      </c>
      <c r="Q39" s="18" t="n">
        <v>1.346e-06</v>
      </c>
      <c r="R39" s="17" t="n">
        <v>81560.34</v>
      </c>
      <c r="S39" s="17" t="n">
        <v>0.035</v>
      </c>
      <c r="T39" s="18" t="n">
        <v>6.725999999999999e-08</v>
      </c>
      <c r="U39" s="17" t="n">
        <v>61856.16</v>
      </c>
      <c r="V39" s="18" t="n">
        <v>0.00015</v>
      </c>
      <c r="W39" s="18" t="n">
        <v>9.2e-08</v>
      </c>
      <c r="X39" s="17" t="n">
        <v>59860.8</v>
      </c>
      <c r="Y39" s="18" t="n">
        <v>0.00016</v>
      </c>
      <c r="Z39" s="19" t="inlineStr">
        <is>
          <t>All parameter values include upper bound of stated uncertainty. k1 = dissociative adsorption / surface recombination rate constant. Three surface conditions measured: clean, partially ion-beam cleaned, and oxidized.</t>
        </is>
      </c>
    </row>
    <row r="40" ht="28" customHeight="1">
      <c r="A40" s="264" t="inlineStr">
        <is>
          <t>metal_1.4841_Schmidt1985</t>
        </is>
      </c>
      <c r="B40" s="264" t="inlineStr">
        <is>
          <t>Schmidt et al. 1985 — Studies on the permeation of hydrogen and tritium through heat resistant alloys</t>
        </is>
      </c>
      <c r="C40" s="264" t="inlineStr">
        <is>
          <t>T₂</t>
        </is>
      </c>
      <c r="D40" s="12" t="n">
        <v>1223</v>
      </c>
      <c r="E40" s="12" t="n">
        <v>1023</v>
      </c>
      <c r="F40" s="12" t="n">
        <v>1223</v>
      </c>
      <c r="G40" s="13" t="n">
        <v>1.046e-09</v>
      </c>
      <c r="H40" s="12" t="n">
        <v>35400</v>
      </c>
      <c r="I40" s="13" t="n">
        <v>3.4e-08</v>
      </c>
      <c r="J40" s="12" t="n">
        <v>0.0901</v>
      </c>
      <c r="K40" s="12" t="n">
        <v>21500</v>
      </c>
      <c r="L40" s="12" t="n">
        <v>0.7465000000000001</v>
      </c>
      <c r="M40" s="13" t="n">
        <v>9.422999999999999e-11</v>
      </c>
      <c r="N40" s="12" t="n">
        <v>56900</v>
      </c>
      <c r="O40" s="13" t="n">
        <v>2.538e-08</v>
      </c>
      <c r="P40" s="12" t="n">
        <v>0.005</v>
      </c>
      <c r="Q40" s="14" t="inlineStr">
        <is>
          <t>—</t>
        </is>
      </c>
      <c r="R40" s="14" t="inlineStr">
        <is>
          <t>—</t>
        </is>
      </c>
      <c r="S40" s="14" t="inlineStr">
        <is>
          <t>—</t>
        </is>
      </c>
      <c r="T40" s="14" t="inlineStr">
        <is>
          <t>—</t>
        </is>
      </c>
      <c r="U40" s="14" t="inlineStr">
        <is>
          <t>—</t>
        </is>
      </c>
      <c r="V40" s="14" t="inlineStr">
        <is>
          <t>—</t>
        </is>
      </c>
      <c r="W40" s="14" t="inlineStr">
        <is>
          <t>—</t>
        </is>
      </c>
      <c r="X40" s="14" t="inlineStr">
        <is>
          <t>—</t>
        </is>
      </c>
      <c r="Y40" s="14" t="inlineStr">
        <is>
          <t>—</t>
        </is>
      </c>
      <c r="Z40" s="15" t="inlineStr">
        <is>
          <t>Phi_ref = D_ref * Ks_ref.</t>
        </is>
      </c>
    </row>
    <row r="41" ht="28" customHeight="1">
      <c r="A41" s="262" t="inlineStr">
        <is>
          <t>metal_1.4876_Incoloy800_Schmidt1985_v1</t>
        </is>
      </c>
      <c r="B41" s="262" t="inlineStr">
        <is>
          <t>Schmidt et al. 1985</t>
        </is>
      </c>
      <c r="C41" s="262" t="inlineStr">
        <is>
          <t>T₂</t>
        </is>
      </c>
      <c r="D41" s="17" t="n">
        <v>1223</v>
      </c>
      <c r="E41" s="17" t="n">
        <v>1023</v>
      </c>
      <c r="F41" s="17" t="n">
        <v>1223</v>
      </c>
      <c r="G41" s="18" t="n">
        <v>3.783e-09</v>
      </c>
      <c r="H41" s="17" t="n">
        <v>56400</v>
      </c>
      <c r="I41" s="18" t="n">
        <v>9.7e-07</v>
      </c>
      <c r="J41" s="17" t="n">
        <v>0.02138</v>
      </c>
      <c r="K41" s="17" t="n">
        <v>200</v>
      </c>
      <c r="L41" s="17" t="n">
        <v>0.0218</v>
      </c>
      <c r="M41" s="18" t="n">
        <v>8.088e-11</v>
      </c>
      <c r="N41" s="17" t="n">
        <v>56600</v>
      </c>
      <c r="O41" s="18" t="n">
        <v>2.115e-08</v>
      </c>
      <c r="P41" s="17" t="n">
        <v>0.005</v>
      </c>
      <c r="Q41" s="14" t="inlineStr">
        <is>
          <t>—</t>
        </is>
      </c>
      <c r="R41" s="14" t="inlineStr">
        <is>
          <t>—</t>
        </is>
      </c>
      <c r="S41" s="14" t="inlineStr">
        <is>
          <t>—</t>
        </is>
      </c>
      <c r="T41" s="14" t="inlineStr">
        <is>
          <t>—</t>
        </is>
      </c>
      <c r="U41" s="14" t="inlineStr">
        <is>
          <t>—</t>
        </is>
      </c>
      <c r="V41" s="14" t="inlineStr">
        <is>
          <t>—</t>
        </is>
      </c>
      <c r="W41" s="14" t="inlineStr">
        <is>
          <t>—</t>
        </is>
      </c>
      <c r="X41" s="14" t="inlineStr">
        <is>
          <t>—</t>
        </is>
      </c>
      <c r="Y41" s="14" t="inlineStr">
        <is>
          <t>—</t>
        </is>
      </c>
      <c r="Z41" s="19" t="inlineStr">
        <is>
          <t>Phi_ref = D_ref * Ks_ref.</t>
        </is>
      </c>
    </row>
    <row r="42" ht="28" customHeight="1">
      <c r="A42" s="264" t="inlineStr">
        <is>
          <t>metal_X2_NiCr_30_25_Schmidt1985</t>
        </is>
      </c>
      <c r="B42" s="264" t="inlineStr">
        <is>
          <t>Schmidt et al. 1985</t>
        </is>
      </c>
      <c r="C42" s="264" t="inlineStr">
        <is>
          <t>T₂</t>
        </is>
      </c>
      <c r="D42" s="12" t="n">
        <v>1223</v>
      </c>
      <c r="E42" s="12" t="n">
        <v>1023</v>
      </c>
      <c r="F42" s="12" t="n">
        <v>1223</v>
      </c>
      <c r="G42" s="13" t="n">
        <v>3.333e-09</v>
      </c>
      <c r="H42" s="12" t="n">
        <v>69500</v>
      </c>
      <c r="I42" s="13" t="n">
        <v>3.1e-06</v>
      </c>
      <c r="J42" s="12" t="n">
        <v>0.06505</v>
      </c>
      <c r="K42" s="12" t="n">
        <v>10200</v>
      </c>
      <c r="L42" s="12" t="n">
        <v>0.1774</v>
      </c>
      <c r="M42" s="13" t="n">
        <v>2.168e-10</v>
      </c>
      <c r="N42" s="12" t="n">
        <v>79700</v>
      </c>
      <c r="O42" s="13" t="n">
        <v>5.499e-07</v>
      </c>
      <c r="P42" s="12" t="n">
        <v>0.005</v>
      </c>
      <c r="Q42" s="14" t="inlineStr">
        <is>
          <t>—</t>
        </is>
      </c>
      <c r="R42" s="14" t="inlineStr">
        <is>
          <t>—</t>
        </is>
      </c>
      <c r="S42" s="14" t="inlineStr">
        <is>
          <t>—</t>
        </is>
      </c>
      <c r="T42" s="14" t="inlineStr">
        <is>
          <t>—</t>
        </is>
      </c>
      <c r="U42" s="14" t="inlineStr">
        <is>
          <t>—</t>
        </is>
      </c>
      <c r="V42" s="14" t="inlineStr">
        <is>
          <t>—</t>
        </is>
      </c>
      <c r="W42" s="14" t="inlineStr">
        <is>
          <t>—</t>
        </is>
      </c>
      <c r="X42" s="14" t="inlineStr">
        <is>
          <t>—</t>
        </is>
      </c>
      <c r="Y42" s="14" t="inlineStr">
        <is>
          <t>—</t>
        </is>
      </c>
      <c r="Z42" s="15" t="inlineStr">
        <is>
          <t>Phi_ref = D_ref * Ks_ref.</t>
        </is>
      </c>
    </row>
    <row r="43" ht="28" customHeight="1">
      <c r="A43" s="262" t="inlineStr">
        <is>
          <t>metal_X2_NiCrSi_30_25_Schmidt1985</t>
        </is>
      </c>
      <c r="B43" s="262" t="inlineStr">
        <is>
          <t>Schmidt et al. 1985</t>
        </is>
      </c>
      <c r="C43" s="262" t="inlineStr">
        <is>
          <t>T₂</t>
        </is>
      </c>
      <c r="D43" s="17" t="n">
        <v>1223</v>
      </c>
      <c r="E43" s="17" t="n">
        <v>1023</v>
      </c>
      <c r="F43" s="17" t="n">
        <v>1223</v>
      </c>
      <c r="G43" s="18" t="n">
        <v>4.067e-09</v>
      </c>
      <c r="H43" s="17" t="n">
        <v>102900</v>
      </c>
      <c r="I43" s="18" t="n">
        <v>0.000101</v>
      </c>
      <c r="J43" s="17" t="n">
        <v>0.1843</v>
      </c>
      <c r="K43" s="17" t="n">
        <v>68600</v>
      </c>
      <c r="L43" s="17" t="n">
        <v>156.9</v>
      </c>
      <c r="M43" s="18" t="n">
        <v>7.497e-10</v>
      </c>
      <c r="N43" s="17" t="n">
        <v>171500</v>
      </c>
      <c r="O43" s="17" t="n">
        <v>0.01585</v>
      </c>
      <c r="P43" s="17" t="n">
        <v>0.005</v>
      </c>
      <c r="Q43" s="14" t="inlineStr">
        <is>
          <t>—</t>
        </is>
      </c>
      <c r="R43" s="14" t="inlineStr">
        <is>
          <t>—</t>
        </is>
      </c>
      <c r="S43" s="14" t="inlineStr">
        <is>
          <t>—</t>
        </is>
      </c>
      <c r="T43" s="14" t="inlineStr">
        <is>
          <t>—</t>
        </is>
      </c>
      <c r="U43" s="14" t="inlineStr">
        <is>
          <t>—</t>
        </is>
      </c>
      <c r="V43" s="14" t="inlineStr">
        <is>
          <t>—</t>
        </is>
      </c>
      <c r="W43" s="14" t="inlineStr">
        <is>
          <t>—</t>
        </is>
      </c>
      <c r="X43" s="14" t="inlineStr">
        <is>
          <t>—</t>
        </is>
      </c>
      <c r="Y43" s="14" t="inlineStr">
        <is>
          <t>—</t>
        </is>
      </c>
      <c r="Z43" s="19" t="inlineStr">
        <is>
          <t>Phi_ref = D_ref * Ks_ref.</t>
        </is>
      </c>
    </row>
    <row r="44" ht="28" customHeight="1">
      <c r="A44" s="264" t="inlineStr">
        <is>
          <t>metal_X2_NiCrTi_30_25_Schmidt1985</t>
        </is>
      </c>
      <c r="B44" s="264" t="inlineStr">
        <is>
          <t>Schmidt et al. 1985</t>
        </is>
      </c>
      <c r="C44" s="264" t="inlineStr">
        <is>
          <t>T₂</t>
        </is>
      </c>
      <c r="D44" s="12" t="n">
        <v>1223</v>
      </c>
      <c r="E44" s="12" t="n">
        <v>1023</v>
      </c>
      <c r="F44" s="12" t="n">
        <v>1223</v>
      </c>
      <c r="G44" s="13" t="n">
        <v>3.056e-09</v>
      </c>
      <c r="H44" s="12" t="n">
        <v>62300</v>
      </c>
      <c r="I44" s="13" t="n">
        <v>1.4e-06</v>
      </c>
      <c r="J44" s="12" t="n">
        <v>0.008059</v>
      </c>
      <c r="K44" s="12" t="n">
        <v>29100</v>
      </c>
      <c r="L44" s="12" t="n">
        <v>0.141</v>
      </c>
      <c r="M44" s="13" t="n">
        <v>2.463e-11</v>
      </c>
      <c r="N44" s="12" t="n">
        <v>91400</v>
      </c>
      <c r="O44" s="13" t="n">
        <v>1.974e-07</v>
      </c>
      <c r="P44" s="12" t="n">
        <v>0.005</v>
      </c>
      <c r="Q44" s="14" t="inlineStr">
        <is>
          <t>—</t>
        </is>
      </c>
      <c r="R44" s="14" t="inlineStr">
        <is>
          <t>—</t>
        </is>
      </c>
      <c r="S44" s="14" t="inlineStr">
        <is>
          <t>—</t>
        </is>
      </c>
      <c r="T44" s="14" t="inlineStr">
        <is>
          <t>—</t>
        </is>
      </c>
      <c r="U44" s="14" t="inlineStr">
        <is>
          <t>—</t>
        </is>
      </c>
      <c r="V44" s="14" t="inlineStr">
        <is>
          <t>—</t>
        </is>
      </c>
      <c r="W44" s="14" t="inlineStr">
        <is>
          <t>—</t>
        </is>
      </c>
      <c r="X44" s="14" t="inlineStr">
        <is>
          <t>—</t>
        </is>
      </c>
      <c r="Y44" s="14" t="inlineStr">
        <is>
          <t>—</t>
        </is>
      </c>
      <c r="Z44" s="15" t="inlineStr">
        <is>
          <t>Phi_ref = D_ref * Ks_ref.</t>
        </is>
      </c>
    </row>
    <row r="45" ht="28" customHeight="1">
      <c r="A45" s="262" t="inlineStr">
        <is>
          <t>metal_X10_NiCrTi_30_25_Schmidt1985</t>
        </is>
      </c>
      <c r="B45" s="262" t="inlineStr">
        <is>
          <t>Schmidt et al. 1985</t>
        </is>
      </c>
      <c r="C45" s="262" t="inlineStr">
        <is>
          <t>T₂</t>
        </is>
      </c>
      <c r="D45" s="17" t="n">
        <v>1223</v>
      </c>
      <c r="E45" s="17" t="n">
        <v>1023</v>
      </c>
      <c r="F45" s="17" t="n">
        <v>1223</v>
      </c>
      <c r="G45" s="18" t="n">
        <v>1.152e-09</v>
      </c>
      <c r="H45" s="17" t="n">
        <v>42600</v>
      </c>
      <c r="I45" s="18" t="n">
        <v>7.600000000000001e-08</v>
      </c>
      <c r="J45" s="17" t="n">
        <v>0.07315000000000001</v>
      </c>
      <c r="K45" s="17" t="n">
        <v>45900</v>
      </c>
      <c r="L45" s="17" t="n">
        <v>6.679</v>
      </c>
      <c r="M45" s="18" t="n">
        <v>8.424e-11</v>
      </c>
      <c r="N45" s="17" t="n">
        <v>88500</v>
      </c>
      <c r="O45" s="18" t="n">
        <v>5.076e-07</v>
      </c>
      <c r="P45" s="17" t="n">
        <v>0.005</v>
      </c>
      <c r="Q45" s="14" t="inlineStr">
        <is>
          <t>—</t>
        </is>
      </c>
      <c r="R45" s="14" t="inlineStr">
        <is>
          <t>—</t>
        </is>
      </c>
      <c r="S45" s="14" t="inlineStr">
        <is>
          <t>—</t>
        </is>
      </c>
      <c r="T45" s="14" t="inlineStr">
        <is>
          <t>—</t>
        </is>
      </c>
      <c r="U45" s="14" t="inlineStr">
        <is>
          <t>—</t>
        </is>
      </c>
      <c r="V45" s="14" t="inlineStr">
        <is>
          <t>—</t>
        </is>
      </c>
      <c r="W45" s="14" t="inlineStr">
        <is>
          <t>—</t>
        </is>
      </c>
      <c r="X45" s="14" t="inlineStr">
        <is>
          <t>—</t>
        </is>
      </c>
      <c r="Y45" s="14" t="inlineStr">
        <is>
          <t>—</t>
        </is>
      </c>
      <c r="Z45" s="19" t="inlineStr">
        <is>
          <t>Phi_ref = D_ref * Ks_ref.</t>
        </is>
      </c>
    </row>
    <row r="46" ht="28" customHeight="1">
      <c r="A46" s="264" t="inlineStr">
        <is>
          <t>metal_X40_NiCrTi_30_25_Schmidt1985</t>
        </is>
      </c>
      <c r="B46" s="264" t="inlineStr">
        <is>
          <t>Schmidt et al. 1985</t>
        </is>
      </c>
      <c r="C46" s="264" t="inlineStr">
        <is>
          <t>T₂</t>
        </is>
      </c>
      <c r="D46" s="12" t="n">
        <v>1223</v>
      </c>
      <c r="E46" s="12" t="n">
        <v>1023</v>
      </c>
      <c r="F46" s="12" t="n">
        <v>1223</v>
      </c>
      <c r="G46" s="13" t="n">
        <v>6.909e-10</v>
      </c>
      <c r="H46" s="12" t="n">
        <v>23400</v>
      </c>
      <c r="I46" s="13" t="n">
        <v>6.9e-09</v>
      </c>
      <c r="J46" s="12" t="n">
        <v>0.09948</v>
      </c>
      <c r="K46" s="12" t="n">
        <v>33400</v>
      </c>
      <c r="L46" s="12" t="n">
        <v>2.657</v>
      </c>
      <c r="M46" s="13" t="n">
        <v>6.873e-11</v>
      </c>
      <c r="N46" s="12" t="n">
        <v>56800</v>
      </c>
      <c r="O46" s="13" t="n">
        <v>1.833e-08</v>
      </c>
      <c r="P46" s="12" t="n">
        <v>0.005</v>
      </c>
      <c r="Q46" s="14" t="inlineStr">
        <is>
          <t>—</t>
        </is>
      </c>
      <c r="R46" s="14" t="inlineStr">
        <is>
          <t>—</t>
        </is>
      </c>
      <c r="S46" s="14" t="inlineStr">
        <is>
          <t>—</t>
        </is>
      </c>
      <c r="T46" s="14" t="inlineStr">
        <is>
          <t>—</t>
        </is>
      </c>
      <c r="U46" s="14" t="inlineStr">
        <is>
          <t>—</t>
        </is>
      </c>
      <c r="V46" s="14" t="inlineStr">
        <is>
          <t>—</t>
        </is>
      </c>
      <c r="W46" s="14" t="inlineStr">
        <is>
          <t>—</t>
        </is>
      </c>
      <c r="X46" s="14" t="inlineStr">
        <is>
          <t>—</t>
        </is>
      </c>
      <c r="Y46" s="14" t="inlineStr">
        <is>
          <t>—</t>
        </is>
      </c>
      <c r="Z46" s="15" t="inlineStr">
        <is>
          <t>Phi_ref = D_ref * Ks_ref.</t>
        </is>
      </c>
    </row>
    <row r="47" ht="28" customHeight="1">
      <c r="A47" s="262" t="inlineStr">
        <is>
          <t>metal_X10_NiCr_30_20_Schmidt1985</t>
        </is>
      </c>
      <c r="B47" s="262" t="inlineStr">
        <is>
          <t>Schmidt et al. 1985</t>
        </is>
      </c>
      <c r="C47" s="262" t="inlineStr">
        <is>
          <t>T₂</t>
        </is>
      </c>
      <c r="D47" s="17" t="n">
        <v>1223</v>
      </c>
      <c r="E47" s="17" t="n">
        <v>1023</v>
      </c>
      <c r="F47" s="17" t="n">
        <v>1223</v>
      </c>
      <c r="G47" s="18" t="n">
        <v>2.117e-09</v>
      </c>
      <c r="H47" s="17" t="n">
        <v>48100</v>
      </c>
      <c r="I47" s="18" t="n">
        <v>2.4e-07</v>
      </c>
      <c r="J47" s="17" t="n">
        <v>0.07104000000000001</v>
      </c>
      <c r="K47" s="17" t="n">
        <v>39700</v>
      </c>
      <c r="L47" s="17" t="n">
        <v>3.525</v>
      </c>
      <c r="M47" s="18" t="n">
        <v>1.504e-10</v>
      </c>
      <c r="N47" s="17" t="n">
        <v>87800</v>
      </c>
      <c r="O47" s="18" t="n">
        <v>8.46e-07</v>
      </c>
      <c r="P47" s="17" t="n">
        <v>0.005</v>
      </c>
      <c r="Q47" s="14" t="inlineStr">
        <is>
          <t>—</t>
        </is>
      </c>
      <c r="R47" s="14" t="inlineStr">
        <is>
          <t>—</t>
        </is>
      </c>
      <c r="S47" s="14" t="inlineStr">
        <is>
          <t>—</t>
        </is>
      </c>
      <c r="T47" s="14" t="inlineStr">
        <is>
          <t>—</t>
        </is>
      </c>
      <c r="U47" s="14" t="inlineStr">
        <is>
          <t>—</t>
        </is>
      </c>
      <c r="V47" s="14" t="inlineStr">
        <is>
          <t>—</t>
        </is>
      </c>
      <c r="W47" s="14" t="inlineStr">
        <is>
          <t>—</t>
        </is>
      </c>
      <c r="X47" s="14" t="inlineStr">
        <is>
          <t>—</t>
        </is>
      </c>
      <c r="Y47" s="14" t="inlineStr">
        <is>
          <t>—</t>
        </is>
      </c>
      <c r="Z47" s="19" t="inlineStr">
        <is>
          <t>Phi_ref = D_ref * Ks_ref.</t>
        </is>
      </c>
    </row>
    <row r="48" ht="28" customHeight="1">
      <c r="A48" s="264" t="inlineStr">
        <is>
          <t>metal_X10_NiCr_30_22_Schmidt1985</t>
        </is>
      </c>
      <c r="B48" s="264" t="inlineStr">
        <is>
          <t>Schmidt et al. 1985</t>
        </is>
      </c>
      <c r="C48" s="264" t="inlineStr">
        <is>
          <t>T₂</t>
        </is>
      </c>
      <c r="D48" s="12" t="n">
        <v>1223</v>
      </c>
      <c r="E48" s="12" t="n">
        <v>1023</v>
      </c>
      <c r="F48" s="12" t="n">
        <v>1223</v>
      </c>
      <c r="G48" s="13" t="n">
        <v>1.764e-09</v>
      </c>
      <c r="H48" s="12" t="n">
        <v>48600</v>
      </c>
      <c r="I48" s="13" t="n">
        <v>2.1e-07</v>
      </c>
      <c r="J48" s="12" t="n">
        <v>0.06537</v>
      </c>
      <c r="K48" s="12" t="n">
        <v>44700</v>
      </c>
      <c r="L48" s="12" t="n">
        <v>5.304</v>
      </c>
      <c r="M48" s="13" t="n">
        <v>1.153e-10</v>
      </c>
      <c r="N48" s="12" t="n">
        <v>93300</v>
      </c>
      <c r="O48" s="13" t="n">
        <v>1.114e-06</v>
      </c>
      <c r="P48" s="12" t="n">
        <v>0.005</v>
      </c>
      <c r="Q48" s="14" t="inlineStr">
        <is>
          <t>—</t>
        </is>
      </c>
      <c r="R48" s="14" t="inlineStr">
        <is>
          <t>—</t>
        </is>
      </c>
      <c r="S48" s="14" t="inlineStr">
        <is>
          <t>—</t>
        </is>
      </c>
      <c r="T48" s="14" t="inlineStr">
        <is>
          <t>—</t>
        </is>
      </c>
      <c r="U48" s="14" t="inlineStr">
        <is>
          <t>—</t>
        </is>
      </c>
      <c r="V48" s="14" t="inlineStr">
        <is>
          <t>—</t>
        </is>
      </c>
      <c r="W48" s="14" t="inlineStr">
        <is>
          <t>—</t>
        </is>
      </c>
      <c r="X48" s="14" t="inlineStr">
        <is>
          <t>—</t>
        </is>
      </c>
      <c r="Y48" s="14" t="inlineStr">
        <is>
          <t>—</t>
        </is>
      </c>
      <c r="Z48" s="15" t="inlineStr">
        <is>
          <t>Phi_ref = D_ref * Ks_ref.</t>
        </is>
      </c>
    </row>
    <row r="49" ht="28" customHeight="1">
      <c r="A49" s="262" t="inlineStr">
        <is>
          <t>metal_X10_NiCr_30_26_Schmidt1985</t>
        </is>
      </c>
      <c r="B49" s="262" t="inlineStr">
        <is>
          <t>Schmidt et al. 1985</t>
        </is>
      </c>
      <c r="C49" s="262" t="inlineStr">
        <is>
          <t>T₂</t>
        </is>
      </c>
      <c r="D49" s="17" t="n">
        <v>1223</v>
      </c>
      <c r="E49" s="17" t="n">
        <v>1023</v>
      </c>
      <c r="F49" s="17" t="n">
        <v>1223</v>
      </c>
      <c r="G49" s="18" t="n">
        <v>2.555e-09</v>
      </c>
      <c r="H49" s="17" t="n">
        <v>112800</v>
      </c>
      <c r="I49" s="18" t="n">
        <v>0.000168</v>
      </c>
      <c r="J49" s="17" t="n">
        <v>0.1502</v>
      </c>
      <c r="K49" s="17" t="n">
        <v>85900</v>
      </c>
      <c r="L49" s="17" t="n">
        <v>700.8</v>
      </c>
      <c r="M49" s="18" t="n">
        <v>3.838e-10</v>
      </c>
      <c r="N49" s="17" t="n">
        <v>198700</v>
      </c>
      <c r="O49" s="17" t="n">
        <v>0.1177</v>
      </c>
      <c r="P49" s="17" t="n">
        <v>0.005</v>
      </c>
      <c r="Q49" s="14" t="inlineStr">
        <is>
          <t>—</t>
        </is>
      </c>
      <c r="R49" s="14" t="inlineStr">
        <is>
          <t>—</t>
        </is>
      </c>
      <c r="S49" s="14" t="inlineStr">
        <is>
          <t>—</t>
        </is>
      </c>
      <c r="T49" s="14" t="inlineStr">
        <is>
          <t>—</t>
        </is>
      </c>
      <c r="U49" s="14" t="inlineStr">
        <is>
          <t>—</t>
        </is>
      </c>
      <c r="V49" s="14" t="inlineStr">
        <is>
          <t>—</t>
        </is>
      </c>
      <c r="W49" s="14" t="inlineStr">
        <is>
          <t>—</t>
        </is>
      </c>
      <c r="X49" s="14" t="inlineStr">
        <is>
          <t>—</t>
        </is>
      </c>
      <c r="Y49" s="14" t="inlineStr">
        <is>
          <t>—</t>
        </is>
      </c>
      <c r="Z49" s="19" t="inlineStr">
        <is>
          <t>Phi_ref = D_ref * Ks_ref.</t>
        </is>
      </c>
    </row>
    <row r="50" ht="28" customHeight="1">
      <c r="A50" s="264" t="inlineStr">
        <is>
          <t>metal_X10_NiCrAlTi_32_12_Incoloy800H_Schmidt1985</t>
        </is>
      </c>
      <c r="B50" s="264" t="inlineStr">
        <is>
          <t>Schmidt et al. 1985</t>
        </is>
      </c>
      <c r="C50" s="264" t="inlineStr">
        <is>
          <t>H₂</t>
        </is>
      </c>
      <c r="D50" s="12" t="n">
        <v>1223</v>
      </c>
      <c r="E50" s="12" t="n">
        <v>1023</v>
      </c>
      <c r="F50" s="12" t="n">
        <v>1223</v>
      </c>
      <c r="G50" s="14" t="inlineStr">
        <is>
          <t>—</t>
        </is>
      </c>
      <c r="H50" s="14" t="inlineStr">
        <is>
          <t>—</t>
        </is>
      </c>
      <c r="I50" s="14" t="inlineStr">
        <is>
          <t>—</t>
        </is>
      </c>
      <c r="J50" s="14" t="inlineStr">
        <is>
          <t>—</t>
        </is>
      </c>
      <c r="K50" s="14" t="inlineStr">
        <is>
          <t>—</t>
        </is>
      </c>
      <c r="L50" s="14" t="inlineStr">
        <is>
          <t>—</t>
        </is>
      </c>
      <c r="M50" s="13" t="n">
        <v>8.05e-10</v>
      </c>
      <c r="N50" s="12" t="n">
        <v>75200</v>
      </c>
      <c r="O50" s="13" t="n">
        <v>1.311e-06</v>
      </c>
      <c r="P50" s="12" t="n">
        <v>0.005</v>
      </c>
      <c r="Q50" s="14" t="inlineStr">
        <is>
          <t>—</t>
        </is>
      </c>
      <c r="R50" s="14" t="inlineStr">
        <is>
          <t>—</t>
        </is>
      </c>
      <c r="S50" s="14" t="inlineStr">
        <is>
          <t>—</t>
        </is>
      </c>
      <c r="T50" s="14" t="inlineStr">
        <is>
          <t>—</t>
        </is>
      </c>
      <c r="U50" s="14" t="inlineStr">
        <is>
          <t>—</t>
        </is>
      </c>
      <c r="V50" s="14" t="inlineStr">
        <is>
          <t>—</t>
        </is>
      </c>
      <c r="W50" s="14" t="inlineStr">
        <is>
          <t>—</t>
        </is>
      </c>
      <c r="X50" s="14" t="inlineStr">
        <is>
          <t>—</t>
        </is>
      </c>
      <c r="Y50" s="14" t="inlineStr">
        <is>
          <t>—</t>
        </is>
      </c>
      <c r="Z50" s="15" t="inlineStr">
        <is>
          <t>Phi_ref computed from Phi_0 and Q_p via Arrhenius (D_0/Ks_0 unavailable).</t>
        </is>
      </c>
    </row>
    <row r="51" ht="28" customHeight="1">
      <c r="A51" s="262" t="inlineStr">
        <is>
          <t>metal_NiCr_22_CoMoAl_Inconel617_Schmidt1985_1023K</t>
        </is>
      </c>
      <c r="B51" s="262" t="inlineStr">
        <is>
          <t>Schmidt et al. 1985</t>
        </is>
      </c>
      <c r="C51" s="262" t="inlineStr">
        <is>
          <t>H₂</t>
        </is>
      </c>
      <c r="D51" s="17" t="n">
        <v>1023</v>
      </c>
      <c r="E51" s="17" t="n">
        <v>1023</v>
      </c>
      <c r="F51" s="17" t="n">
        <v>1223</v>
      </c>
      <c r="G51" s="14" t="inlineStr">
        <is>
          <t>—</t>
        </is>
      </c>
      <c r="H51" s="14" t="inlineStr">
        <is>
          <t>—</t>
        </is>
      </c>
      <c r="I51" s="14" t="inlineStr">
        <is>
          <t>—</t>
        </is>
      </c>
      <c r="J51" s="14" t="inlineStr">
        <is>
          <t>—</t>
        </is>
      </c>
      <c r="K51" s="14" t="inlineStr">
        <is>
          <t>—</t>
        </is>
      </c>
      <c r="L51" s="14" t="inlineStr">
        <is>
          <t>—</t>
        </is>
      </c>
      <c r="M51" s="18" t="n">
        <v>2.349e-10</v>
      </c>
      <c r="N51" s="17" t="n">
        <v>68100</v>
      </c>
      <c r="O51" s="18" t="n">
        <v>7.05e-07</v>
      </c>
      <c r="P51" s="17" t="n">
        <v>0.005</v>
      </c>
      <c r="Q51" s="14" t="inlineStr">
        <is>
          <t>—</t>
        </is>
      </c>
      <c r="R51" s="14" t="inlineStr">
        <is>
          <t>—</t>
        </is>
      </c>
      <c r="S51" s="14" t="inlineStr">
        <is>
          <t>—</t>
        </is>
      </c>
      <c r="T51" s="14" t="inlineStr">
        <is>
          <t>—</t>
        </is>
      </c>
      <c r="U51" s="14" t="inlineStr">
        <is>
          <t>—</t>
        </is>
      </c>
      <c r="V51" s="14" t="inlineStr">
        <is>
          <t>—</t>
        </is>
      </c>
      <c r="W51" s="14" t="inlineStr">
        <is>
          <t>—</t>
        </is>
      </c>
      <c r="X51" s="14" t="inlineStr">
        <is>
          <t>—</t>
        </is>
      </c>
      <c r="Y51" s="14" t="inlineStr">
        <is>
          <t>—</t>
        </is>
      </c>
      <c r="Z51" s="19" t="inlineStr">
        <is>
          <t>Phi_ref computed from Phi_0 and Q_p via Arrhenius (D_0/Ks_0 unavailable).</t>
        </is>
      </c>
    </row>
    <row r="52" ht="28" customHeight="1">
      <c r="A52" s="264" t="inlineStr">
        <is>
          <t>metal_NiCr_22_CoMoAl_Inconel617_Schmidt1985_1173K</t>
        </is>
      </c>
      <c r="B52" s="264" t="inlineStr">
        <is>
          <t>Schmidt et al. 1985</t>
        </is>
      </c>
      <c r="C52" s="264" t="inlineStr">
        <is>
          <t>H₂</t>
        </is>
      </c>
      <c r="D52" s="12" t="n">
        <v>1173</v>
      </c>
      <c r="E52" s="12" t="n">
        <v>1023</v>
      </c>
      <c r="F52" s="12" t="n">
        <v>1173</v>
      </c>
      <c r="G52" s="14" t="inlineStr">
        <is>
          <t>—</t>
        </is>
      </c>
      <c r="H52" s="14" t="inlineStr">
        <is>
          <t>—</t>
        </is>
      </c>
      <c r="I52" s="14" t="inlineStr">
        <is>
          <t>—</t>
        </is>
      </c>
      <c r="J52" s="14" t="inlineStr">
        <is>
          <t>—</t>
        </is>
      </c>
      <c r="K52" s="14" t="inlineStr">
        <is>
          <t>—</t>
        </is>
      </c>
      <c r="L52" s="14" t="inlineStr">
        <is>
          <t>—</t>
        </is>
      </c>
      <c r="M52" s="13" t="n">
        <v>3.973e-10</v>
      </c>
      <c r="N52" s="12" t="n">
        <v>83000</v>
      </c>
      <c r="O52" s="13" t="n">
        <v>1.974e-06</v>
      </c>
      <c r="P52" s="12" t="n">
        <v>0.005</v>
      </c>
      <c r="Q52" s="14" t="inlineStr">
        <is>
          <t>—</t>
        </is>
      </c>
      <c r="R52" s="14" t="inlineStr">
        <is>
          <t>—</t>
        </is>
      </c>
      <c r="S52" s="14" t="inlineStr">
        <is>
          <t>—</t>
        </is>
      </c>
      <c r="T52" s="14" t="inlineStr">
        <is>
          <t>—</t>
        </is>
      </c>
      <c r="U52" s="14" t="inlineStr">
        <is>
          <t>—</t>
        </is>
      </c>
      <c r="V52" s="14" t="inlineStr">
        <is>
          <t>—</t>
        </is>
      </c>
      <c r="W52" s="14" t="inlineStr">
        <is>
          <t>—</t>
        </is>
      </c>
      <c r="X52" s="14" t="inlineStr">
        <is>
          <t>—</t>
        </is>
      </c>
      <c r="Y52" s="14" t="inlineStr">
        <is>
          <t>—</t>
        </is>
      </c>
      <c r="Z52" s="15" t="inlineStr">
        <is>
          <t>Trapping effects observed. Phi_ref computed from Phi_0 and Q_p via Arrhenius (D_0/Ks_0 unavailable).</t>
        </is>
      </c>
    </row>
    <row r="53" ht="28" customHeight="1">
      <c r="A53" s="262" t="inlineStr">
        <is>
          <t>metal_NiCr_22_MoFeNb_Inconel625_Schmidt1985</t>
        </is>
      </c>
      <c r="B53" s="262" t="inlineStr">
        <is>
          <t>Schmidt et al. 1985</t>
        </is>
      </c>
      <c r="C53" s="262" t="inlineStr">
        <is>
          <t>H₂</t>
        </is>
      </c>
      <c r="D53" s="17" t="n">
        <v>1173</v>
      </c>
      <c r="E53" s="17" t="n">
        <v>1023</v>
      </c>
      <c r="F53" s="17" t="n">
        <v>1173</v>
      </c>
      <c r="G53" s="14" t="inlineStr">
        <is>
          <t>—</t>
        </is>
      </c>
      <c r="H53" s="14" t="inlineStr">
        <is>
          <t>—</t>
        </is>
      </c>
      <c r="I53" s="14" t="inlineStr">
        <is>
          <t>—</t>
        </is>
      </c>
      <c r="J53" s="14" t="inlineStr">
        <is>
          <t>—</t>
        </is>
      </c>
      <c r="K53" s="14" t="inlineStr">
        <is>
          <t>—</t>
        </is>
      </c>
      <c r="L53" s="14" t="inlineStr">
        <is>
          <t>—</t>
        </is>
      </c>
      <c r="M53" s="18" t="n">
        <v>3.183e-10</v>
      </c>
      <c r="N53" s="17" t="n">
        <v>60000</v>
      </c>
      <c r="O53" s="18" t="n">
        <v>2.397e-07</v>
      </c>
      <c r="P53" s="17" t="n">
        <v>0.005</v>
      </c>
      <c r="Q53" s="14" t="inlineStr">
        <is>
          <t>—</t>
        </is>
      </c>
      <c r="R53" s="14" t="inlineStr">
        <is>
          <t>—</t>
        </is>
      </c>
      <c r="S53" s="14" t="inlineStr">
        <is>
          <t>—</t>
        </is>
      </c>
      <c r="T53" s="14" t="inlineStr">
        <is>
          <t>—</t>
        </is>
      </c>
      <c r="U53" s="14" t="inlineStr">
        <is>
          <t>—</t>
        </is>
      </c>
      <c r="V53" s="14" t="inlineStr">
        <is>
          <t>—</t>
        </is>
      </c>
      <c r="W53" s="14" t="inlineStr">
        <is>
          <t>—</t>
        </is>
      </c>
      <c r="X53" s="14" t="inlineStr">
        <is>
          <t>—</t>
        </is>
      </c>
      <c r="Y53" s="14" t="inlineStr">
        <is>
          <t>—</t>
        </is>
      </c>
      <c r="Z53" s="19" t="inlineStr">
        <is>
          <t>Trapping effects observed. Phi_ref computed from Phi_0 and Q_p via Arrhenius (D_0/Ks_0 unavailable).</t>
        </is>
      </c>
    </row>
    <row r="54" ht="28" customHeight="1">
      <c r="A54" s="264" t="inlineStr">
        <is>
          <t>metal_X40_NiCrAlTi_31_19_Incoloy802_Schmidt1985</t>
        </is>
      </c>
      <c r="B54" s="264" t="inlineStr">
        <is>
          <t>Schmidt et al. 1985</t>
        </is>
      </c>
      <c r="C54" s="264" t="inlineStr">
        <is>
          <t>T₂</t>
        </is>
      </c>
      <c r="D54" s="12" t="n">
        <v>1223</v>
      </c>
      <c r="E54" s="12" t="n">
        <v>1023</v>
      </c>
      <c r="F54" s="12" t="n">
        <v>1223</v>
      </c>
      <c r="G54" s="13" t="n">
        <v>2.474e-09</v>
      </c>
      <c r="H54" s="12" t="n">
        <v>72200</v>
      </c>
      <c r="I54" s="13" t="n">
        <v>3e-06</v>
      </c>
      <c r="J54" s="12" t="n">
        <v>0.05093</v>
      </c>
      <c r="K54" s="12" t="n">
        <v>7200</v>
      </c>
      <c r="L54" s="12" t="n">
        <v>0.1034</v>
      </c>
      <c r="M54" s="13" t="n">
        <v>1.26e-10</v>
      </c>
      <c r="N54" s="12" t="n">
        <v>79400</v>
      </c>
      <c r="O54" s="13" t="n">
        <v>3.102e-07</v>
      </c>
      <c r="P54" s="12" t="n">
        <v>0.005</v>
      </c>
      <c r="Q54" s="14" t="inlineStr">
        <is>
          <t>—</t>
        </is>
      </c>
      <c r="R54" s="14" t="inlineStr">
        <is>
          <t>—</t>
        </is>
      </c>
      <c r="S54" s="14" t="inlineStr">
        <is>
          <t>—</t>
        </is>
      </c>
      <c r="T54" s="14" t="inlineStr">
        <is>
          <t>—</t>
        </is>
      </c>
      <c r="U54" s="14" t="inlineStr">
        <is>
          <t>—</t>
        </is>
      </c>
      <c r="V54" s="14" t="inlineStr">
        <is>
          <t>—</t>
        </is>
      </c>
      <c r="W54" s="14" t="inlineStr">
        <is>
          <t>—</t>
        </is>
      </c>
      <c r="X54" s="14" t="inlineStr">
        <is>
          <t>—</t>
        </is>
      </c>
      <c r="Y54" s="14" t="inlineStr">
        <is>
          <t>—</t>
        </is>
      </c>
      <c r="Z54" s="15" t="inlineStr">
        <is>
          <t>Phi_ref = D_ref * Ks_ref.</t>
        </is>
      </c>
    </row>
    <row r="55" ht="28" customHeight="1">
      <c r="A55" s="262" t="inlineStr">
        <is>
          <t>metal_1.4762_Schmidt1985</t>
        </is>
      </c>
      <c r="B55" s="262" t="inlineStr">
        <is>
          <t>Schmidt et al. 1985</t>
        </is>
      </c>
      <c r="C55" s="262" t="inlineStr">
        <is>
          <t>T₂</t>
        </is>
      </c>
      <c r="D55" s="17" t="n">
        <v>1123</v>
      </c>
      <c r="E55" s="17" t="n">
        <v>973</v>
      </c>
      <c r="F55" s="17" t="n">
        <v>1123</v>
      </c>
      <c r="G55" s="14" t="inlineStr">
        <is>
          <t>—</t>
        </is>
      </c>
      <c r="H55" s="14" t="inlineStr">
        <is>
          <t>—</t>
        </is>
      </c>
      <c r="I55" s="14" t="inlineStr">
        <is>
          <t>—</t>
        </is>
      </c>
      <c r="J55" s="14" t="inlineStr">
        <is>
          <t>—</t>
        </is>
      </c>
      <c r="K55" s="14" t="inlineStr">
        <is>
          <t>—</t>
        </is>
      </c>
      <c r="L55" s="14" t="inlineStr">
        <is>
          <t>—</t>
        </is>
      </c>
      <c r="M55" s="14" t="inlineStr">
        <is>
          <t>—</t>
        </is>
      </c>
      <c r="N55" s="14" t="inlineStr">
        <is>
          <t>—</t>
        </is>
      </c>
      <c r="O55" s="14" t="inlineStr">
        <is>
          <t>—</t>
        </is>
      </c>
      <c r="P55" s="17" t="n">
        <v>0.005</v>
      </c>
      <c r="Q55" s="14" t="inlineStr">
        <is>
          <t>—</t>
        </is>
      </c>
      <c r="R55" s="14" t="inlineStr">
        <is>
          <t>—</t>
        </is>
      </c>
      <c r="S55" s="14" t="inlineStr">
        <is>
          <t>—</t>
        </is>
      </c>
      <c r="T55" s="14" t="inlineStr">
        <is>
          <t>—</t>
        </is>
      </c>
      <c r="U55" s="14" t="inlineStr">
        <is>
          <t>—</t>
        </is>
      </c>
      <c r="V55" s="14" t="inlineStr">
        <is>
          <t>—</t>
        </is>
      </c>
      <c r="W55" s="14" t="inlineStr">
        <is>
          <t>—</t>
        </is>
      </c>
      <c r="X55" s="14" t="inlineStr">
        <is>
          <t>—</t>
        </is>
      </c>
      <c r="Y55" s="14" t="inlineStr">
        <is>
          <t>—</t>
        </is>
      </c>
      <c r="Z55" s="19" t="inlineStr">
        <is>
          <t>Phase transformation in temperature range. No permeation data provided.</t>
        </is>
      </c>
    </row>
    <row r="56" ht="28" customHeight="1">
      <c r="A56" s="264" t="inlineStr">
        <is>
          <t>metal_1.4763_Schmidt1985</t>
        </is>
      </c>
      <c r="B56" s="264" t="inlineStr">
        <is>
          <t>Schmidt et al. 1985</t>
        </is>
      </c>
      <c r="C56" s="264" t="inlineStr">
        <is>
          <t>T₂</t>
        </is>
      </c>
      <c r="D56" s="12" t="n">
        <v>1123</v>
      </c>
      <c r="E56" s="12" t="n">
        <v>973</v>
      </c>
      <c r="F56" s="12" t="n">
        <v>1123</v>
      </c>
      <c r="G56" s="14" t="inlineStr">
        <is>
          <t>—</t>
        </is>
      </c>
      <c r="H56" s="14" t="inlineStr">
        <is>
          <t>—</t>
        </is>
      </c>
      <c r="I56" s="14" t="inlineStr">
        <is>
          <t>—</t>
        </is>
      </c>
      <c r="J56" s="14" t="inlineStr">
        <is>
          <t>—</t>
        </is>
      </c>
      <c r="K56" s="14" t="inlineStr">
        <is>
          <t>—</t>
        </is>
      </c>
      <c r="L56" s="14" t="inlineStr">
        <is>
          <t>—</t>
        </is>
      </c>
      <c r="M56" s="13" t="n">
        <v>2.731e-11</v>
      </c>
      <c r="N56" s="12" t="n">
        <v>141300</v>
      </c>
      <c r="O56" s="13" t="n">
        <v>0.0001021</v>
      </c>
      <c r="P56" s="12" t="n">
        <v>0.005</v>
      </c>
      <c r="Q56" s="14" t="inlineStr">
        <is>
          <t>—</t>
        </is>
      </c>
      <c r="R56" s="14" t="inlineStr">
        <is>
          <t>—</t>
        </is>
      </c>
      <c r="S56" s="14" t="inlineStr">
        <is>
          <t>—</t>
        </is>
      </c>
      <c r="T56" s="14" t="inlineStr">
        <is>
          <t>—</t>
        </is>
      </c>
      <c r="U56" s="14" t="inlineStr">
        <is>
          <t>—</t>
        </is>
      </c>
      <c r="V56" s="14" t="inlineStr">
        <is>
          <t>—</t>
        </is>
      </c>
      <c r="W56" s="14" t="inlineStr">
        <is>
          <t>—</t>
        </is>
      </c>
      <c r="X56" s="14" t="inlineStr">
        <is>
          <t>—</t>
        </is>
      </c>
      <c r="Y56" s="14" t="inlineStr">
        <is>
          <t>—</t>
        </is>
      </c>
      <c r="Z56" s="15" t="inlineStr">
        <is>
          <t>Phase transformation in temperature range. Phi_ref computed from Phi_0 and Q_p via Arrhenius (D_0/Ks_0 unavailable).</t>
        </is>
      </c>
    </row>
    <row r="57" ht="28" customHeight="1">
      <c r="A57" s="262" t="inlineStr">
        <is>
          <t>metal_1.4301_Schmidt1985_v1</t>
        </is>
      </c>
      <c r="B57" s="262" t="inlineStr">
        <is>
          <t>Schmidt et al. 1985</t>
        </is>
      </c>
      <c r="C57" s="262" t="inlineStr">
        <is>
          <t>T₂</t>
        </is>
      </c>
      <c r="D57" s="17" t="n">
        <v>1223</v>
      </c>
      <c r="E57" s="17" t="n">
        <v>1023</v>
      </c>
      <c r="F57" s="17" t="n">
        <v>1223</v>
      </c>
      <c r="G57" s="18" t="n">
        <v>1.62e-09</v>
      </c>
      <c r="H57" s="17" t="n">
        <v>46700</v>
      </c>
      <c r="I57" s="18" t="n">
        <v>1.6e-07</v>
      </c>
      <c r="J57" s="17" t="n">
        <v>0.2091</v>
      </c>
      <c r="K57" s="17" t="n">
        <v>73500</v>
      </c>
      <c r="L57" s="17" t="n">
        <v>288.2</v>
      </c>
      <c r="M57" s="18" t="n">
        <v>3.387e-10</v>
      </c>
      <c r="N57" s="17" t="n">
        <v>120200</v>
      </c>
      <c r="O57" s="18" t="n">
        <v>4.611e-05</v>
      </c>
      <c r="P57" s="17" t="n">
        <v>0.005</v>
      </c>
      <c r="Q57" s="14" t="inlineStr">
        <is>
          <t>—</t>
        </is>
      </c>
      <c r="R57" s="14" t="inlineStr">
        <is>
          <t>—</t>
        </is>
      </c>
      <c r="S57" s="14" t="inlineStr">
        <is>
          <t>—</t>
        </is>
      </c>
      <c r="T57" s="14" t="inlineStr">
        <is>
          <t>—</t>
        </is>
      </c>
      <c r="U57" s="14" t="inlineStr">
        <is>
          <t>—</t>
        </is>
      </c>
      <c r="V57" s="14" t="inlineStr">
        <is>
          <t>—</t>
        </is>
      </c>
      <c r="W57" s="14" t="inlineStr">
        <is>
          <t>—</t>
        </is>
      </c>
      <c r="X57" s="14" t="inlineStr">
        <is>
          <t>—</t>
        </is>
      </c>
      <c r="Y57" s="14" t="inlineStr">
        <is>
          <t>—</t>
        </is>
      </c>
      <c r="Z57" s="19" t="inlineStr">
        <is>
          <t>Phi_ref = D_ref * Ks_ref.</t>
        </is>
      </c>
    </row>
    <row r="58" ht="28" customHeight="1">
      <c r="A58" s="264" t="inlineStr">
        <is>
          <t>metal_1.4301_Schmidt1985_v2</t>
        </is>
      </c>
      <c r="B58" s="264" t="inlineStr">
        <is>
          <t>Schmidt et al. 1985</t>
        </is>
      </c>
      <c r="C58" s="264" t="inlineStr">
        <is>
          <t>T₂</t>
        </is>
      </c>
      <c r="D58" s="12" t="n">
        <v>1223</v>
      </c>
      <c r="E58" s="12" t="n">
        <v>1023</v>
      </c>
      <c r="F58" s="12" t="n">
        <v>1223</v>
      </c>
      <c r="G58" s="13" t="n">
        <v>2.857e-09</v>
      </c>
      <c r="H58" s="12" t="n">
        <v>54200</v>
      </c>
      <c r="I58" s="13" t="n">
        <v>5.9e-07</v>
      </c>
      <c r="J58" s="12" t="n">
        <v>0.1061</v>
      </c>
      <c r="K58" s="12" t="n">
        <v>15300</v>
      </c>
      <c r="L58" s="12" t="n">
        <v>0.478</v>
      </c>
      <c r="M58" s="13" t="n">
        <v>3.032e-10</v>
      </c>
      <c r="N58" s="12" t="n">
        <v>69500</v>
      </c>
      <c r="O58" s="13" t="n">
        <v>2.82e-07</v>
      </c>
      <c r="P58" s="12" t="n">
        <v>0.005</v>
      </c>
      <c r="Q58" s="14" t="inlineStr">
        <is>
          <t>—</t>
        </is>
      </c>
      <c r="R58" s="14" t="inlineStr">
        <is>
          <t>—</t>
        </is>
      </c>
      <c r="S58" s="14" t="inlineStr">
        <is>
          <t>—</t>
        </is>
      </c>
      <c r="T58" s="14" t="inlineStr">
        <is>
          <t>—</t>
        </is>
      </c>
      <c r="U58" s="14" t="inlineStr">
        <is>
          <t>—</t>
        </is>
      </c>
      <c r="V58" s="14" t="inlineStr">
        <is>
          <t>—</t>
        </is>
      </c>
      <c r="W58" s="14" t="inlineStr">
        <is>
          <t>—</t>
        </is>
      </c>
      <c r="X58" s="14" t="inlineStr">
        <is>
          <t>—</t>
        </is>
      </c>
      <c r="Y58" s="14" t="inlineStr">
        <is>
          <t>—</t>
        </is>
      </c>
      <c r="Z58" s="15" t="inlineStr">
        <is>
          <t>Phi_ref = D_ref * Ks_ref.</t>
        </is>
      </c>
    </row>
    <row r="59" ht="28" customHeight="1">
      <c r="A59" s="262" t="inlineStr">
        <is>
          <t>metal_1.4401_Schmidt1985</t>
        </is>
      </c>
      <c r="B59" s="262" t="inlineStr">
        <is>
          <t>Schmidt et al. 1985</t>
        </is>
      </c>
      <c r="C59" s="262" t="inlineStr">
        <is>
          <t>T₂</t>
        </is>
      </c>
      <c r="D59" s="17" t="n">
        <v>1223</v>
      </c>
      <c r="E59" s="17" t="n">
        <v>1023</v>
      </c>
      <c r="F59" s="17" t="n">
        <v>1223</v>
      </c>
      <c r="G59" s="18" t="n">
        <v>3.229e-09</v>
      </c>
      <c r="H59" s="17" t="n">
        <v>50200</v>
      </c>
      <c r="I59" s="18" t="n">
        <v>4.5e-07</v>
      </c>
      <c r="J59" s="17" t="n">
        <v>0.03966</v>
      </c>
      <c r="K59" s="17" t="n">
        <v>3000</v>
      </c>
      <c r="L59" s="17" t="n">
        <v>0.05327</v>
      </c>
      <c r="M59" s="18" t="n">
        <v>1.281e-10</v>
      </c>
      <c r="N59" s="17" t="n">
        <v>53200</v>
      </c>
      <c r="O59" s="18" t="n">
        <v>2.397e-08</v>
      </c>
      <c r="P59" s="17" t="n">
        <v>0.005</v>
      </c>
      <c r="Q59" s="14" t="inlineStr">
        <is>
          <t>—</t>
        </is>
      </c>
      <c r="R59" s="14" t="inlineStr">
        <is>
          <t>—</t>
        </is>
      </c>
      <c r="S59" s="14" t="inlineStr">
        <is>
          <t>—</t>
        </is>
      </c>
      <c r="T59" s="14" t="inlineStr">
        <is>
          <t>—</t>
        </is>
      </c>
      <c r="U59" s="14" t="inlineStr">
        <is>
          <t>—</t>
        </is>
      </c>
      <c r="V59" s="14" t="inlineStr">
        <is>
          <t>—</t>
        </is>
      </c>
      <c r="W59" s="14" t="inlineStr">
        <is>
          <t>—</t>
        </is>
      </c>
      <c r="X59" s="14" t="inlineStr">
        <is>
          <t>—</t>
        </is>
      </c>
      <c r="Y59" s="14" t="inlineStr">
        <is>
          <t>—</t>
        </is>
      </c>
      <c r="Z59" s="19" t="inlineStr">
        <is>
          <t>Phi_ref = D_ref * Ks_ref.</t>
        </is>
      </c>
    </row>
    <row r="60" ht="28" customHeight="1">
      <c r="A60" s="264" t="inlineStr">
        <is>
          <t>metal_1.4541_Schmidt1985</t>
        </is>
      </c>
      <c r="B60" s="264" t="inlineStr">
        <is>
          <t>Schmidt et al. 1985</t>
        </is>
      </c>
      <c r="C60" s="264" t="inlineStr">
        <is>
          <t>T₂</t>
        </is>
      </c>
      <c r="D60" s="12" t="n">
        <v>1223</v>
      </c>
      <c r="E60" s="12" t="n">
        <v>1023</v>
      </c>
      <c r="F60" s="12" t="n">
        <v>1223</v>
      </c>
      <c r="G60" s="13" t="n">
        <v>2.1e-09</v>
      </c>
      <c r="H60" s="12" t="n">
        <v>56800</v>
      </c>
      <c r="I60" s="13" t="n">
        <v>5.6e-07</v>
      </c>
      <c r="J60" s="12" t="n">
        <v>0.08383</v>
      </c>
      <c r="K60" s="12" t="n">
        <v>26700</v>
      </c>
      <c r="L60" s="12" t="n">
        <v>1.158</v>
      </c>
      <c r="M60" s="13" t="n">
        <v>1.76e-10</v>
      </c>
      <c r="N60" s="12" t="n">
        <v>83500</v>
      </c>
      <c r="O60" s="13" t="n">
        <v>6.486e-07</v>
      </c>
      <c r="P60" s="12" t="n">
        <v>0.005</v>
      </c>
      <c r="Q60" s="14" t="inlineStr">
        <is>
          <t>—</t>
        </is>
      </c>
      <c r="R60" s="14" t="inlineStr">
        <is>
          <t>—</t>
        </is>
      </c>
      <c r="S60" s="14" t="inlineStr">
        <is>
          <t>—</t>
        </is>
      </c>
      <c r="T60" s="14" t="inlineStr">
        <is>
          <t>—</t>
        </is>
      </c>
      <c r="U60" s="14" t="inlineStr">
        <is>
          <t>—</t>
        </is>
      </c>
      <c r="V60" s="14" t="inlineStr">
        <is>
          <t>—</t>
        </is>
      </c>
      <c r="W60" s="14" t="inlineStr">
        <is>
          <t>—</t>
        </is>
      </c>
      <c r="X60" s="14" t="inlineStr">
        <is>
          <t>—</t>
        </is>
      </c>
      <c r="Y60" s="14" t="inlineStr">
        <is>
          <t>—</t>
        </is>
      </c>
      <c r="Z60" s="15" t="inlineStr">
        <is>
          <t>Phi_ref = D_ref * Ks_ref.</t>
        </is>
      </c>
    </row>
    <row r="61" ht="28" customHeight="1">
      <c r="A61" s="262" t="inlineStr">
        <is>
          <t>metal_1.4571_Schmidt1985</t>
        </is>
      </c>
      <c r="B61" s="262" t="inlineStr">
        <is>
          <t>Schmidt et al. 1985</t>
        </is>
      </c>
      <c r="C61" s="262" t="inlineStr">
        <is>
          <t>T₂</t>
        </is>
      </c>
      <c r="D61" s="17" t="n">
        <v>1223</v>
      </c>
      <c r="E61" s="17" t="n">
        <v>1023</v>
      </c>
      <c r="F61" s="17" t="n">
        <v>1223</v>
      </c>
      <c r="G61" s="18" t="n">
        <v>1.83e-09</v>
      </c>
      <c r="H61" s="17" t="n">
        <v>50000</v>
      </c>
      <c r="I61" s="18" t="n">
        <v>2.5e-07</v>
      </c>
      <c r="J61" s="17" t="n">
        <v>0.1027</v>
      </c>
      <c r="K61" s="17" t="n">
        <v>22100</v>
      </c>
      <c r="L61" s="17" t="n">
        <v>0.9024</v>
      </c>
      <c r="M61" s="18" t="n">
        <v>1.879e-10</v>
      </c>
      <c r="N61" s="17" t="n">
        <v>72100</v>
      </c>
      <c r="O61" s="18" t="n">
        <v>2.256e-07</v>
      </c>
      <c r="P61" s="17" t="n">
        <v>0.005</v>
      </c>
      <c r="Q61" s="14" t="inlineStr">
        <is>
          <t>—</t>
        </is>
      </c>
      <c r="R61" s="14" t="inlineStr">
        <is>
          <t>—</t>
        </is>
      </c>
      <c r="S61" s="14" t="inlineStr">
        <is>
          <t>—</t>
        </is>
      </c>
      <c r="T61" s="14" t="inlineStr">
        <is>
          <t>—</t>
        </is>
      </c>
      <c r="U61" s="14" t="inlineStr">
        <is>
          <t>—</t>
        </is>
      </c>
      <c r="V61" s="14" t="inlineStr">
        <is>
          <t>—</t>
        </is>
      </c>
      <c r="W61" s="14" t="inlineStr">
        <is>
          <t>—</t>
        </is>
      </c>
      <c r="X61" s="14" t="inlineStr">
        <is>
          <t>—</t>
        </is>
      </c>
      <c r="Y61" s="14" t="inlineStr">
        <is>
          <t>—</t>
        </is>
      </c>
      <c r="Z61" s="19" t="inlineStr">
        <is>
          <t>Phi_ref = D_ref * Ks_ref.</t>
        </is>
      </c>
    </row>
    <row r="62" ht="28" customHeight="1">
      <c r="A62" s="264" t="inlineStr">
        <is>
          <t>metal_1.4550_Schmidt1985</t>
        </is>
      </c>
      <c r="B62" s="264" t="inlineStr">
        <is>
          <t>Schmidt et al. 1985</t>
        </is>
      </c>
      <c r="C62" s="264" t="inlineStr">
        <is>
          <t>T₂</t>
        </is>
      </c>
      <c r="D62" s="12" t="n">
        <v>1223</v>
      </c>
      <c r="E62" s="12" t="n">
        <v>1023</v>
      </c>
      <c r="F62" s="12" t="n">
        <v>1223</v>
      </c>
      <c r="G62" s="13" t="n">
        <v>1.442e-09</v>
      </c>
      <c r="H62" s="12" t="n">
        <v>53200</v>
      </c>
      <c r="I62" s="13" t="n">
        <v>2.7e-07</v>
      </c>
      <c r="J62" s="12" t="n">
        <v>0.1024</v>
      </c>
      <c r="K62" s="12" t="n">
        <v>35600</v>
      </c>
      <c r="L62" s="12" t="n">
        <v>3.394</v>
      </c>
      <c r="M62" s="13" t="n">
        <v>1.477e-10</v>
      </c>
      <c r="N62" s="12" t="n">
        <v>88800</v>
      </c>
      <c r="O62" s="13" t="n">
        <v>9.165e-07</v>
      </c>
      <c r="P62" s="12" t="n">
        <v>0.005</v>
      </c>
      <c r="Q62" s="14" t="inlineStr">
        <is>
          <t>—</t>
        </is>
      </c>
      <c r="R62" s="14" t="inlineStr">
        <is>
          <t>—</t>
        </is>
      </c>
      <c r="S62" s="14" t="inlineStr">
        <is>
          <t>—</t>
        </is>
      </c>
      <c r="T62" s="14" t="inlineStr">
        <is>
          <t>—</t>
        </is>
      </c>
      <c r="U62" s="14" t="inlineStr">
        <is>
          <t>—</t>
        </is>
      </c>
      <c r="V62" s="14" t="inlineStr">
        <is>
          <t>—</t>
        </is>
      </c>
      <c r="W62" s="14" t="inlineStr">
        <is>
          <t>—</t>
        </is>
      </c>
      <c r="X62" s="14" t="inlineStr">
        <is>
          <t>—</t>
        </is>
      </c>
      <c r="Y62" s="14" t="inlineStr">
        <is>
          <t>—</t>
        </is>
      </c>
      <c r="Z62" s="15" t="inlineStr">
        <is>
          <t>Phi_ref = D_ref * Ks_ref.</t>
        </is>
      </c>
    </row>
    <row r="63" ht="28" customHeight="1">
      <c r="A63" s="262" t="inlineStr">
        <is>
          <t>metal_1.4580_Schmidt1985</t>
        </is>
      </c>
      <c r="B63" s="262" t="inlineStr">
        <is>
          <t>Schmidt et al. 1985</t>
        </is>
      </c>
      <c r="C63" s="262" t="inlineStr">
        <is>
          <t>T₂</t>
        </is>
      </c>
      <c r="D63" s="17" t="n">
        <v>1223</v>
      </c>
      <c r="E63" s="17" t="n">
        <v>1023</v>
      </c>
      <c r="F63" s="17" t="n">
        <v>1223</v>
      </c>
      <c r="G63" s="18" t="n">
        <v>1.703e-09</v>
      </c>
      <c r="H63" s="17" t="n">
        <v>62300</v>
      </c>
      <c r="I63" s="18" t="n">
        <v>7.8e-07</v>
      </c>
      <c r="J63" s="17" t="n">
        <v>1.036</v>
      </c>
      <c r="K63" s="17" t="n">
        <v>4700</v>
      </c>
      <c r="L63" s="17" t="n">
        <v>1.645</v>
      </c>
      <c r="M63" s="18" t="n">
        <v>1.764e-09</v>
      </c>
      <c r="N63" s="17" t="n">
        <v>67000</v>
      </c>
      <c r="O63" s="18" t="n">
        <v>1.283e-06</v>
      </c>
      <c r="P63" s="17" t="n">
        <v>0.005</v>
      </c>
      <c r="Q63" s="14" t="inlineStr">
        <is>
          <t>—</t>
        </is>
      </c>
      <c r="R63" s="14" t="inlineStr">
        <is>
          <t>—</t>
        </is>
      </c>
      <c r="S63" s="14" t="inlineStr">
        <is>
          <t>—</t>
        </is>
      </c>
      <c r="T63" s="14" t="inlineStr">
        <is>
          <t>—</t>
        </is>
      </c>
      <c r="U63" s="14" t="inlineStr">
        <is>
          <t>—</t>
        </is>
      </c>
      <c r="V63" s="14" t="inlineStr">
        <is>
          <t>—</t>
        </is>
      </c>
      <c r="W63" s="14" t="inlineStr">
        <is>
          <t>—</t>
        </is>
      </c>
      <c r="X63" s="14" t="inlineStr">
        <is>
          <t>—</t>
        </is>
      </c>
      <c r="Y63" s="14" t="inlineStr">
        <is>
          <t>—</t>
        </is>
      </c>
      <c r="Z63" s="19" t="inlineStr">
        <is>
          <t>Phi_ref = D_ref * Ks_ref.</t>
        </is>
      </c>
    </row>
    <row r="64" ht="28" customHeight="1">
      <c r="A64" s="264" t="inlineStr">
        <is>
          <t>metal_X10_NiCrNbAl_30_25_Schmidt1985</t>
        </is>
      </c>
      <c r="B64" s="264" t="inlineStr">
        <is>
          <t>Schmidt et al. 1985</t>
        </is>
      </c>
      <c r="C64" s="264" t="inlineStr">
        <is>
          <t>H₂</t>
        </is>
      </c>
      <c r="D64" s="12" t="n">
        <v>1223</v>
      </c>
      <c r="E64" s="12" t="n">
        <v>1023</v>
      </c>
      <c r="F64" s="12" t="n">
        <v>1223</v>
      </c>
      <c r="G64" s="14" t="inlineStr">
        <is>
          <t>—</t>
        </is>
      </c>
      <c r="H64" s="14" t="inlineStr">
        <is>
          <t>—</t>
        </is>
      </c>
      <c r="I64" s="14" t="inlineStr">
        <is>
          <t>—</t>
        </is>
      </c>
      <c r="J64" s="14" t="inlineStr">
        <is>
          <t>—</t>
        </is>
      </c>
      <c r="K64" s="14" t="inlineStr">
        <is>
          <t>—</t>
        </is>
      </c>
      <c r="L64" s="14" t="inlineStr">
        <is>
          <t>—</t>
        </is>
      </c>
      <c r="M64" s="13" t="n">
        <v>9.468000000000001e-10</v>
      </c>
      <c r="N64" s="12" t="n">
        <v>63900</v>
      </c>
      <c r="O64" s="13" t="n">
        <v>5.076e-07</v>
      </c>
      <c r="P64" s="12" t="n">
        <v>0.005</v>
      </c>
      <c r="Q64" s="14" t="inlineStr">
        <is>
          <t>—</t>
        </is>
      </c>
      <c r="R64" s="14" t="inlineStr">
        <is>
          <t>—</t>
        </is>
      </c>
      <c r="S64" s="14" t="inlineStr">
        <is>
          <t>—</t>
        </is>
      </c>
      <c r="T64" s="14" t="inlineStr">
        <is>
          <t>—</t>
        </is>
      </c>
      <c r="U64" s="14" t="inlineStr">
        <is>
          <t>—</t>
        </is>
      </c>
      <c r="V64" s="14" t="inlineStr">
        <is>
          <t>—</t>
        </is>
      </c>
      <c r="W64" s="14" t="inlineStr">
        <is>
          <t>—</t>
        </is>
      </c>
      <c r="X64" s="14" t="inlineStr">
        <is>
          <t>—</t>
        </is>
      </c>
      <c r="Y64" s="14" t="inlineStr">
        <is>
          <t>—</t>
        </is>
      </c>
      <c r="Z64" s="15" t="inlineStr">
        <is>
          <t>Phi_ref computed from Phi_0 and Q_p via Arrhenius (D_0/Ks_0 unavailable).</t>
        </is>
      </c>
    </row>
    <row r="65" ht="28" customHeight="1">
      <c r="A65" s="262" t="inlineStr">
        <is>
          <t>metal_X10_NiCrNbAlTi_30_25_Schmidt1985</t>
        </is>
      </c>
      <c r="B65" s="262" t="inlineStr">
        <is>
          <t>Schmidt et al. 1985</t>
        </is>
      </c>
      <c r="C65" s="262" t="inlineStr">
        <is>
          <t>H₂</t>
        </is>
      </c>
      <c r="D65" s="17" t="n">
        <v>1223</v>
      </c>
      <c r="E65" s="17" t="n">
        <v>1023</v>
      </c>
      <c r="F65" s="17" t="n">
        <v>1223</v>
      </c>
      <c r="G65" s="14" t="inlineStr">
        <is>
          <t>—</t>
        </is>
      </c>
      <c r="H65" s="14" t="inlineStr">
        <is>
          <t>—</t>
        </is>
      </c>
      <c r="I65" s="14" t="inlineStr">
        <is>
          <t>—</t>
        </is>
      </c>
      <c r="J65" s="14" t="inlineStr">
        <is>
          <t>—</t>
        </is>
      </c>
      <c r="K65" s="14" t="inlineStr">
        <is>
          <t>—</t>
        </is>
      </c>
      <c r="L65" s="14" t="inlineStr">
        <is>
          <t>—</t>
        </is>
      </c>
      <c r="M65" s="18" t="n">
        <v>3.156e-10</v>
      </c>
      <c r="N65" s="17" t="n">
        <v>63900</v>
      </c>
      <c r="O65" s="18" t="n">
        <v>1.692e-07</v>
      </c>
      <c r="P65" s="17" t="n">
        <v>0.005</v>
      </c>
      <c r="Q65" s="14" t="inlineStr">
        <is>
          <t>—</t>
        </is>
      </c>
      <c r="R65" s="14" t="inlineStr">
        <is>
          <t>—</t>
        </is>
      </c>
      <c r="S65" s="14" t="inlineStr">
        <is>
          <t>—</t>
        </is>
      </c>
      <c r="T65" s="14" t="inlineStr">
        <is>
          <t>—</t>
        </is>
      </c>
      <c r="U65" s="14" t="inlineStr">
        <is>
          <t>—</t>
        </is>
      </c>
      <c r="V65" s="14" t="inlineStr">
        <is>
          <t>—</t>
        </is>
      </c>
      <c r="W65" s="14" t="inlineStr">
        <is>
          <t>—</t>
        </is>
      </c>
      <c r="X65" s="14" t="inlineStr">
        <is>
          <t>—</t>
        </is>
      </c>
      <c r="Y65" s="14" t="inlineStr">
        <is>
          <t>—</t>
        </is>
      </c>
      <c r="Z65" s="19" t="inlineStr">
        <is>
          <t>Phi_ref computed from Phi_0 and Q_p via Arrhenius (D_0/Ks_0 unavailable).</t>
        </is>
      </c>
    </row>
    <row r="66" ht="28" customHeight="1">
      <c r="A66" s="264" t="inlineStr">
        <is>
          <t>metal_NiCr_22_FeW_Schmidt1985</t>
        </is>
      </c>
      <c r="B66" s="264" t="inlineStr">
        <is>
          <t>Schmidt et al. 1985</t>
        </is>
      </c>
      <c r="C66" s="264" t="inlineStr">
        <is>
          <t>H₂</t>
        </is>
      </c>
      <c r="D66" s="12" t="n">
        <v>1223</v>
      </c>
      <c r="E66" s="12" t="n">
        <v>1023</v>
      </c>
      <c r="F66" s="12" t="n">
        <v>1223</v>
      </c>
      <c r="G66" s="14" t="inlineStr">
        <is>
          <t>—</t>
        </is>
      </c>
      <c r="H66" s="14" t="inlineStr">
        <is>
          <t>—</t>
        </is>
      </c>
      <c r="I66" s="14" t="inlineStr">
        <is>
          <t>—</t>
        </is>
      </c>
      <c r="J66" s="14" t="inlineStr">
        <is>
          <t>—</t>
        </is>
      </c>
      <c r="K66" s="14" t="inlineStr">
        <is>
          <t>—</t>
        </is>
      </c>
      <c r="L66" s="14" t="inlineStr">
        <is>
          <t>—</t>
        </is>
      </c>
      <c r="M66" s="13" t="n">
        <v>3.854e-10</v>
      </c>
      <c r="N66" s="12" t="n">
        <v>46700</v>
      </c>
      <c r="O66" s="13" t="n">
        <v>3.807e-08</v>
      </c>
      <c r="P66" s="12" t="n">
        <v>0.005</v>
      </c>
      <c r="Q66" s="14" t="inlineStr">
        <is>
          <t>—</t>
        </is>
      </c>
      <c r="R66" s="14" t="inlineStr">
        <is>
          <t>—</t>
        </is>
      </c>
      <c r="S66" s="14" t="inlineStr">
        <is>
          <t>—</t>
        </is>
      </c>
      <c r="T66" s="14" t="inlineStr">
        <is>
          <t>—</t>
        </is>
      </c>
      <c r="U66" s="14" t="inlineStr">
        <is>
          <t>—</t>
        </is>
      </c>
      <c r="V66" s="14" t="inlineStr">
        <is>
          <t>—</t>
        </is>
      </c>
      <c r="W66" s="14" t="inlineStr">
        <is>
          <t>—</t>
        </is>
      </c>
      <c r="X66" s="14" t="inlineStr">
        <is>
          <t>—</t>
        </is>
      </c>
      <c r="Y66" s="14" t="inlineStr">
        <is>
          <t>—</t>
        </is>
      </c>
      <c r="Z66" s="15" t="inlineStr">
        <is>
          <t>Phi_ref computed from Phi_0 and Q_p via Arrhenius (D_0/Ks_0 unavailable).</t>
        </is>
      </c>
    </row>
    <row r="67" ht="28" customHeight="1">
      <c r="A67" s="262" t="inlineStr">
        <is>
          <t>metal_X25_NiCrNb_30_27_Schmidt1985</t>
        </is>
      </c>
      <c r="B67" s="262" t="inlineStr">
        <is>
          <t>Schmidt et al. 1985</t>
        </is>
      </c>
      <c r="C67" s="262" t="inlineStr">
        <is>
          <t>H₂</t>
        </is>
      </c>
      <c r="D67" s="17" t="n">
        <v>1223</v>
      </c>
      <c r="E67" s="17" t="n">
        <v>1023</v>
      </c>
      <c r="F67" s="17" t="n">
        <v>1223</v>
      </c>
      <c r="G67" s="14" t="inlineStr">
        <is>
          <t>—</t>
        </is>
      </c>
      <c r="H67" s="14" t="inlineStr">
        <is>
          <t>—</t>
        </is>
      </c>
      <c r="I67" s="14" t="inlineStr">
        <is>
          <t>—</t>
        </is>
      </c>
      <c r="J67" s="14" t="inlineStr">
        <is>
          <t>—</t>
        </is>
      </c>
      <c r="K67" s="14" t="inlineStr">
        <is>
          <t>—</t>
        </is>
      </c>
      <c r="L67" s="14" t="inlineStr">
        <is>
          <t>—</t>
        </is>
      </c>
      <c r="M67" s="18" t="n">
        <v>2.425e-10</v>
      </c>
      <c r="N67" s="17" t="n">
        <v>70700</v>
      </c>
      <c r="O67" s="18" t="n">
        <v>2.538e-07</v>
      </c>
      <c r="P67" s="17" t="n">
        <v>0.005</v>
      </c>
      <c r="Q67" s="14" t="inlineStr">
        <is>
          <t>—</t>
        </is>
      </c>
      <c r="R67" s="14" t="inlineStr">
        <is>
          <t>—</t>
        </is>
      </c>
      <c r="S67" s="14" t="inlineStr">
        <is>
          <t>—</t>
        </is>
      </c>
      <c r="T67" s="14" t="inlineStr">
        <is>
          <t>—</t>
        </is>
      </c>
      <c r="U67" s="14" t="inlineStr">
        <is>
          <t>—</t>
        </is>
      </c>
      <c r="V67" s="14" t="inlineStr">
        <is>
          <t>—</t>
        </is>
      </c>
      <c r="W67" s="14" t="inlineStr">
        <is>
          <t>—</t>
        </is>
      </c>
      <c r="X67" s="14" t="inlineStr">
        <is>
          <t>—</t>
        </is>
      </c>
      <c r="Y67" s="14" t="inlineStr">
        <is>
          <t>—</t>
        </is>
      </c>
      <c r="Z67" s="19" t="inlineStr">
        <is>
          <t>Phi_ref computed from Phi_0 and Q_p via Arrhenius (D_0/Ks_0 unavailable).</t>
        </is>
      </c>
    </row>
    <row r="68" ht="28" customHeight="1">
      <c r="A68" s="264" t="inlineStr">
        <is>
          <t>metal_X25_NiCrNbCe_30_30_Schmidt1985</t>
        </is>
      </c>
      <c r="B68" s="264" t="inlineStr">
        <is>
          <t>Schmidt et al. 1985</t>
        </is>
      </c>
      <c r="C68" s="264" t="inlineStr">
        <is>
          <t>H₂</t>
        </is>
      </c>
      <c r="D68" s="12" t="n">
        <v>1223</v>
      </c>
      <c r="E68" s="12" t="n">
        <v>1023</v>
      </c>
      <c r="F68" s="12" t="n">
        <v>1223</v>
      </c>
      <c r="G68" s="14" t="inlineStr">
        <is>
          <t>—</t>
        </is>
      </c>
      <c r="H68" s="14" t="inlineStr">
        <is>
          <t>—</t>
        </is>
      </c>
      <c r="I68" s="14" t="inlineStr">
        <is>
          <t>—</t>
        </is>
      </c>
      <c r="J68" s="14" t="inlineStr">
        <is>
          <t>—</t>
        </is>
      </c>
      <c r="K68" s="14" t="inlineStr">
        <is>
          <t>—</t>
        </is>
      </c>
      <c r="L68" s="14" t="inlineStr">
        <is>
          <t>—</t>
        </is>
      </c>
      <c r="M68" s="13" t="n">
        <v>7.573e-10</v>
      </c>
      <c r="N68" s="12" t="n">
        <v>135400</v>
      </c>
      <c r="O68" s="13" t="n">
        <v>0.0004597</v>
      </c>
      <c r="P68" s="12" t="n">
        <v>0.005</v>
      </c>
      <c r="Q68" s="14" t="inlineStr">
        <is>
          <t>—</t>
        </is>
      </c>
      <c r="R68" s="14" t="inlineStr">
        <is>
          <t>—</t>
        </is>
      </c>
      <c r="S68" s="14" t="inlineStr">
        <is>
          <t>—</t>
        </is>
      </c>
      <c r="T68" s="14" t="inlineStr">
        <is>
          <t>—</t>
        </is>
      </c>
      <c r="U68" s="14" t="inlineStr">
        <is>
          <t>—</t>
        </is>
      </c>
      <c r="V68" s="14" t="inlineStr">
        <is>
          <t>—</t>
        </is>
      </c>
      <c r="W68" s="14" t="inlineStr">
        <is>
          <t>—</t>
        </is>
      </c>
      <c r="X68" s="14" t="inlineStr">
        <is>
          <t>—</t>
        </is>
      </c>
      <c r="Y68" s="14" t="inlineStr">
        <is>
          <t>—</t>
        </is>
      </c>
      <c r="Z68" s="15" t="inlineStr">
        <is>
          <t>Oxidation observed. Phi_ref computed from Phi_0 and Q_p via Arrhenius (D_0/Ks_0 unavailable).</t>
        </is>
      </c>
    </row>
    <row r="69" ht="28" customHeight="1">
      <c r="A69" s="262" t="inlineStr">
        <is>
          <t>metal_X25_NiCrCoNb_30_27_Schmidt1985</t>
        </is>
      </c>
      <c r="B69" s="262" t="inlineStr">
        <is>
          <t>Schmidt et al. 1985</t>
        </is>
      </c>
      <c r="C69" s="262" t="inlineStr">
        <is>
          <t>H₂</t>
        </is>
      </c>
      <c r="D69" s="17" t="n">
        <v>1223</v>
      </c>
      <c r="E69" s="17" t="n">
        <v>1023</v>
      </c>
      <c r="F69" s="17" t="n">
        <v>1223</v>
      </c>
      <c r="G69" s="14" t="inlineStr">
        <is>
          <t>—</t>
        </is>
      </c>
      <c r="H69" s="14" t="inlineStr">
        <is>
          <t>—</t>
        </is>
      </c>
      <c r="I69" s="14" t="inlineStr">
        <is>
          <t>—</t>
        </is>
      </c>
      <c r="J69" s="14" t="inlineStr">
        <is>
          <t>—</t>
        </is>
      </c>
      <c r="K69" s="14" t="inlineStr">
        <is>
          <t>—</t>
        </is>
      </c>
      <c r="L69" s="14" t="inlineStr">
        <is>
          <t>—</t>
        </is>
      </c>
      <c r="M69" s="18" t="n">
        <v>1.787e-10</v>
      </c>
      <c r="N69" s="17" t="n">
        <v>78300</v>
      </c>
      <c r="O69" s="18" t="n">
        <v>3.948e-07</v>
      </c>
      <c r="P69" s="17" t="n">
        <v>0.005</v>
      </c>
      <c r="Q69" s="14" t="inlineStr">
        <is>
          <t>—</t>
        </is>
      </c>
      <c r="R69" s="14" t="inlineStr">
        <is>
          <t>—</t>
        </is>
      </c>
      <c r="S69" s="14" t="inlineStr">
        <is>
          <t>—</t>
        </is>
      </c>
      <c r="T69" s="14" t="inlineStr">
        <is>
          <t>—</t>
        </is>
      </c>
      <c r="U69" s="14" t="inlineStr">
        <is>
          <t>—</t>
        </is>
      </c>
      <c r="V69" s="14" t="inlineStr">
        <is>
          <t>—</t>
        </is>
      </c>
      <c r="W69" s="14" t="inlineStr">
        <is>
          <t>—</t>
        </is>
      </c>
      <c r="X69" s="14" t="inlineStr">
        <is>
          <t>—</t>
        </is>
      </c>
      <c r="Y69" s="14" t="inlineStr">
        <is>
          <t>—</t>
        </is>
      </c>
      <c r="Z69" s="19" t="inlineStr">
        <is>
          <t>Phi_ref computed from Phi_0 and Q_p via Arrhenius (D_0/Ks_0 unavailable).</t>
        </is>
      </c>
    </row>
    <row r="70" ht="28" customHeight="1">
      <c r="A70" s="264" t="inlineStr">
        <is>
          <t>metal_X25_NiCrSiNbCe_35_27_Schmidt1985</t>
        </is>
      </c>
      <c r="B70" s="264" t="inlineStr">
        <is>
          <t>Schmidt et al. 1985</t>
        </is>
      </c>
      <c r="C70" s="264" t="inlineStr">
        <is>
          <t>H₂</t>
        </is>
      </c>
      <c r="D70" s="12" t="n">
        <v>1223</v>
      </c>
      <c r="E70" s="12" t="n">
        <v>1023</v>
      </c>
      <c r="F70" s="12" t="n">
        <v>1223</v>
      </c>
      <c r="G70" s="14" t="inlineStr">
        <is>
          <t>—</t>
        </is>
      </c>
      <c r="H70" s="14" t="inlineStr">
        <is>
          <t>—</t>
        </is>
      </c>
      <c r="I70" s="14" t="inlineStr">
        <is>
          <t>—</t>
        </is>
      </c>
      <c r="J70" s="14" t="inlineStr">
        <is>
          <t>—</t>
        </is>
      </c>
      <c r="K70" s="14" t="inlineStr">
        <is>
          <t>—</t>
        </is>
      </c>
      <c r="L70" s="14" t="inlineStr">
        <is>
          <t>—</t>
        </is>
      </c>
      <c r="M70" s="13" t="n">
        <v>6.278e-10</v>
      </c>
      <c r="N70" s="12" t="n">
        <v>62100</v>
      </c>
      <c r="O70" s="13" t="n">
        <v>2.82e-07</v>
      </c>
      <c r="P70" s="12" t="n">
        <v>0.005</v>
      </c>
      <c r="Q70" s="14" t="inlineStr">
        <is>
          <t>—</t>
        </is>
      </c>
      <c r="R70" s="14" t="inlineStr">
        <is>
          <t>—</t>
        </is>
      </c>
      <c r="S70" s="14" t="inlineStr">
        <is>
          <t>—</t>
        </is>
      </c>
      <c r="T70" s="14" t="inlineStr">
        <is>
          <t>—</t>
        </is>
      </c>
      <c r="U70" s="14" t="inlineStr">
        <is>
          <t>—</t>
        </is>
      </c>
      <c r="V70" s="14" t="inlineStr">
        <is>
          <t>—</t>
        </is>
      </c>
      <c r="W70" s="14" t="inlineStr">
        <is>
          <t>—</t>
        </is>
      </c>
      <c r="X70" s="14" t="inlineStr">
        <is>
          <t>—</t>
        </is>
      </c>
      <c r="Y70" s="14" t="inlineStr">
        <is>
          <t>—</t>
        </is>
      </c>
      <c r="Z70" s="15" t="inlineStr">
        <is>
          <t>Phi_ref computed from Phi_0 and Q_p via Arrhenius (D_0/Ks_0 unavailable).</t>
        </is>
      </c>
    </row>
    <row r="71" ht="28" customHeight="1">
      <c r="A71" s="262" t="inlineStr">
        <is>
          <t>metal_Nimonic_PE_13_Schmidt1985</t>
        </is>
      </c>
      <c r="B71" s="262" t="inlineStr">
        <is>
          <t>Schmidt et al. 1985</t>
        </is>
      </c>
      <c r="C71" s="262" t="inlineStr">
        <is>
          <t>T₂</t>
        </is>
      </c>
      <c r="D71" s="17" t="n">
        <v>1223</v>
      </c>
      <c r="E71" s="17" t="n">
        <v>1023</v>
      </c>
      <c r="F71" s="17" t="n">
        <v>1223</v>
      </c>
      <c r="G71" s="18" t="n">
        <v>1.908e-09</v>
      </c>
      <c r="H71" s="17" t="n">
        <v>33800</v>
      </c>
      <c r="I71" s="18" t="n">
        <v>5.3e-08</v>
      </c>
      <c r="J71" s="17" t="n">
        <v>0.06469</v>
      </c>
      <c r="K71" s="17" t="n">
        <v>18500</v>
      </c>
      <c r="L71" s="17" t="n">
        <v>0.3991</v>
      </c>
      <c r="M71" s="18" t="n">
        <v>1.234e-10</v>
      </c>
      <c r="N71" s="17" t="n">
        <v>52300</v>
      </c>
      <c r="O71" s="18" t="n">
        <v>2.115e-08</v>
      </c>
      <c r="P71" s="17" t="n">
        <v>0.005</v>
      </c>
      <c r="Q71" s="14" t="inlineStr">
        <is>
          <t>—</t>
        </is>
      </c>
      <c r="R71" s="14" t="inlineStr">
        <is>
          <t>—</t>
        </is>
      </c>
      <c r="S71" s="14" t="inlineStr">
        <is>
          <t>—</t>
        </is>
      </c>
      <c r="T71" s="14" t="inlineStr">
        <is>
          <t>—</t>
        </is>
      </c>
      <c r="U71" s="14" t="inlineStr">
        <is>
          <t>—</t>
        </is>
      </c>
      <c r="V71" s="14" t="inlineStr">
        <is>
          <t>—</t>
        </is>
      </c>
      <c r="W71" s="14" t="inlineStr">
        <is>
          <t>—</t>
        </is>
      </c>
      <c r="X71" s="14" t="inlineStr">
        <is>
          <t>—</t>
        </is>
      </c>
      <c r="Y71" s="14" t="inlineStr">
        <is>
          <t>—</t>
        </is>
      </c>
      <c r="Z71" s="19" t="inlineStr">
        <is>
          <t>Phi_ref = D_ref * Ks_ref.</t>
        </is>
      </c>
    </row>
    <row r="72" ht="28" customHeight="1">
      <c r="A72" s="264" t="inlineStr">
        <is>
          <t>metal_1.4876_Incoloy800_Schmidt1985_v2</t>
        </is>
      </c>
      <c r="B72" s="264" t="inlineStr">
        <is>
          <t>Forcey et al. — H₂ 600–950°C</t>
        </is>
      </c>
      <c r="C72" s="264" t="inlineStr">
        <is>
          <t>H₂</t>
        </is>
      </c>
      <c r="D72" s="12" t="n">
        <v>1223</v>
      </c>
      <c r="E72" s="12" t="n">
        <v>873</v>
      </c>
      <c r="F72" s="12" t="n">
        <v>1223</v>
      </c>
      <c r="G72" s="14" t="inlineStr">
        <is>
          <t>—</t>
        </is>
      </c>
      <c r="H72" s="14" t="inlineStr">
        <is>
          <t>—</t>
        </is>
      </c>
      <c r="I72" s="14" t="inlineStr">
        <is>
          <t>—</t>
        </is>
      </c>
      <c r="J72" s="14" t="inlineStr">
        <is>
          <t>—</t>
        </is>
      </c>
      <c r="K72" s="14" t="inlineStr">
        <is>
          <t>—</t>
        </is>
      </c>
      <c r="L72" s="14" t="inlineStr">
        <is>
          <t>—</t>
        </is>
      </c>
      <c r="M72" s="13" t="n">
        <v>2.884e-09</v>
      </c>
      <c r="N72" s="12" t="n">
        <v>59900</v>
      </c>
      <c r="O72" s="13" t="n">
        <v>1.043e-06</v>
      </c>
      <c r="P72" s="12" t="n">
        <v>0.005</v>
      </c>
      <c r="Q72" s="14" t="inlineStr">
        <is>
          <t>—</t>
        </is>
      </c>
      <c r="R72" s="14" t="inlineStr">
        <is>
          <t>—</t>
        </is>
      </c>
      <c r="S72" s="14" t="inlineStr">
        <is>
          <t>—</t>
        </is>
      </c>
      <c r="T72" s="14" t="inlineStr">
        <is>
          <t>—</t>
        </is>
      </c>
      <c r="U72" s="14" t="inlineStr">
        <is>
          <t>—</t>
        </is>
      </c>
      <c r="V72" s="14" t="inlineStr">
        <is>
          <t>—</t>
        </is>
      </c>
      <c r="W72" s="14" t="inlineStr">
        <is>
          <t>—</t>
        </is>
      </c>
      <c r="X72" s="14" t="inlineStr">
        <is>
          <t>—</t>
        </is>
      </c>
      <c r="Y72" s="14" t="inlineStr">
        <is>
          <t>—</t>
        </is>
      </c>
      <c r="Z72" s="15" t="inlineStr">
        <is>
          <t>Phi_ref computed from Phi_0 and Q_p via Arrhenius (D_0/Ks_0 unavailable).</t>
        </is>
      </c>
    </row>
    <row r="73" ht="28" customHeight="1">
      <c r="A73" s="262" t="inlineStr">
        <is>
          <t>metal_various_D2_100_450C</t>
        </is>
      </c>
      <c r="B73" s="262" t="inlineStr">
        <is>
          <t>Various authors — D₂, 100–450°C</t>
        </is>
      </c>
      <c r="C73" s="262" t="inlineStr">
        <is>
          <t>D₂</t>
        </is>
      </c>
      <c r="D73" s="17" t="n">
        <v>723</v>
      </c>
      <c r="E73" s="17" t="n">
        <v>373</v>
      </c>
      <c r="F73" s="17" t="n">
        <v>723</v>
      </c>
      <c r="G73" s="18" t="n">
        <v>5.897e-11</v>
      </c>
      <c r="H73" s="17" t="n">
        <v>54000</v>
      </c>
      <c r="I73" s="18" t="n">
        <v>4.7e-07</v>
      </c>
      <c r="J73" s="17" t="n">
        <v>0.1334</v>
      </c>
      <c r="K73" s="17" t="n">
        <v>1800</v>
      </c>
      <c r="L73" s="17" t="n">
        <v>0.18</v>
      </c>
      <c r="M73" s="18" t="n">
        <v>7.868e-12</v>
      </c>
      <c r="N73" s="17" t="n">
        <v>55800</v>
      </c>
      <c r="O73" s="18" t="n">
        <v>8.46e-08</v>
      </c>
      <c r="P73" s="17" t="n">
        <v>0.005</v>
      </c>
      <c r="Q73" s="14" t="inlineStr">
        <is>
          <t>—</t>
        </is>
      </c>
      <c r="R73" s="14" t="inlineStr">
        <is>
          <t>—</t>
        </is>
      </c>
      <c r="S73" s="14" t="inlineStr">
        <is>
          <t>—</t>
        </is>
      </c>
      <c r="T73" s="14" t="inlineStr">
        <is>
          <t>—</t>
        </is>
      </c>
      <c r="U73" s="14" t="inlineStr">
        <is>
          <t>—</t>
        </is>
      </c>
      <c r="V73" s="14" t="inlineStr">
        <is>
          <t>—</t>
        </is>
      </c>
      <c r="W73" s="14" t="inlineStr">
        <is>
          <t>—</t>
        </is>
      </c>
      <c r="X73" s="14" t="inlineStr">
        <is>
          <t>—</t>
        </is>
      </c>
      <c r="Y73" s="14" t="inlineStr">
        <is>
          <t>—</t>
        </is>
      </c>
      <c r="Z73" s="19" t="inlineStr">
        <is>
          <t>Phi_ref = D_ref * Ks_ref.</t>
        </is>
      </c>
    </row>
    <row r="74" ht="28" customHeight="1">
      <c r="A74" s="264" t="inlineStr">
        <is>
          <t>metal_AISI_304_Perng_Altstetter</t>
        </is>
      </c>
      <c r="B74" s="264" t="inlineStr">
        <is>
          <t>Perng &amp; Altstetter — AISI 304, H₂ 100–600°C</t>
        </is>
      </c>
      <c r="C74" s="264" t="inlineStr">
        <is>
          <t>H₂</t>
        </is>
      </c>
      <c r="D74" s="12" t="n">
        <v>873</v>
      </c>
      <c r="E74" s="12" t="n">
        <v>373</v>
      </c>
      <c r="F74" s="12" t="n">
        <v>873</v>
      </c>
      <c r="G74" s="13" t="n">
        <v>1.501e-09</v>
      </c>
      <c r="H74" s="12" t="n">
        <v>54400</v>
      </c>
      <c r="I74" s="13" t="n">
        <v>2.7e-06</v>
      </c>
      <c r="J74" s="13" t="n">
        <v>0.00032</v>
      </c>
      <c r="K74" s="12" t="n">
        <v>9600</v>
      </c>
      <c r="L74" s="12" t="n">
        <v>0.001201</v>
      </c>
      <c r="M74" s="13" t="n">
        <v>4.802e-13</v>
      </c>
      <c r="N74" s="12" t="n">
        <v>64000</v>
      </c>
      <c r="O74" s="13" t="n">
        <v>3.243e-09</v>
      </c>
      <c r="P74" s="12" t="n">
        <v>0.005</v>
      </c>
      <c r="Q74" s="14" t="inlineStr">
        <is>
          <t>—</t>
        </is>
      </c>
      <c r="R74" s="14" t="inlineStr">
        <is>
          <t>—</t>
        </is>
      </c>
      <c r="S74" s="14" t="inlineStr">
        <is>
          <t>—</t>
        </is>
      </c>
      <c r="T74" s="14" t="inlineStr">
        <is>
          <t>—</t>
        </is>
      </c>
      <c r="U74" s="14" t="inlineStr">
        <is>
          <t>—</t>
        </is>
      </c>
      <c r="V74" s="14" t="inlineStr">
        <is>
          <t>—</t>
        </is>
      </c>
      <c r="W74" s="14" t="inlineStr">
        <is>
          <t>—</t>
        </is>
      </c>
      <c r="X74" s="14" t="inlineStr">
        <is>
          <t>—</t>
        </is>
      </c>
      <c r="Y74" s="14" t="inlineStr">
        <is>
          <t>—</t>
        </is>
      </c>
      <c r="Z74" s="15" t="inlineStr">
        <is>
          <t>Phi_ref = D_ref * Ks_ref.</t>
        </is>
      </c>
    </row>
    <row r="75" ht="32" customHeight="1">
      <c r="A75" s="264" t="inlineStr">
        <is>
          <t>metal_AISI_301_Perng_Altstetter</t>
        </is>
      </c>
      <c r="B75" s="264" t="inlineStr">
        <is>
          <t>Perng &amp; Altstetter 1986 — AISI 301 annealed, H₂, Acta Metall. 34(9):1771</t>
        </is>
      </c>
      <c r="C75" s="264" t="inlineStr">
        <is>
          <t>H₂</t>
        </is>
      </c>
      <c r="D75" s="12" t="n">
        <v>623.15</v>
      </c>
      <c r="E75" s="12" t="n">
        <v>373</v>
      </c>
      <c r="F75" s="12" t="n">
        <v>623</v>
      </c>
      <c r="G75" s="13" t="n">
        <v>9.765087739697892e-12</v>
      </c>
      <c r="H75" s="12" t="n">
        <v>49200</v>
      </c>
      <c r="I75" s="13" t="n">
        <v>1.3e-07</v>
      </c>
      <c r="J75" s="13" t="n">
        <v>0.05557427285633405</v>
      </c>
      <c r="K75" s="12" t="n">
        <v>5800</v>
      </c>
      <c r="L75" s="12" t="n">
        <v>0.1702424615384616</v>
      </c>
      <c r="M75" s="13" t="n">
        <v>5.42687650512013e-13</v>
      </c>
      <c r="N75" s="12" t="n">
        <v>55000</v>
      </c>
      <c r="O75" s="13" t="n">
        <v>2.213152e-08</v>
      </c>
      <c r="P75" s="13" t="n">
        <v>0.000109</v>
      </c>
      <c r="Q75" s="14" t="inlineStr">
        <is>
          <t>—</t>
        </is>
      </c>
      <c r="R75" s="14" t="inlineStr">
        <is>
          <t>—</t>
        </is>
      </c>
      <c r="S75" s="14" t="inlineStr">
        <is>
          <t>—</t>
        </is>
      </c>
      <c r="T75" s="14" t="inlineStr">
        <is>
          <t>—</t>
        </is>
      </c>
      <c r="U75" s="14" t="inlineStr">
        <is>
          <t>—</t>
        </is>
      </c>
      <c r="V75" s="14" t="inlineStr">
        <is>
          <t>—</t>
        </is>
      </c>
      <c r="W75" s="14" t="inlineStr">
        <is>
          <t>—</t>
        </is>
      </c>
      <c r="X75" s="14" t="inlineStr">
        <is>
          <t>—</t>
        </is>
      </c>
      <c r="Y75" s="14" t="inlineStr">
        <is>
          <t>—</t>
        </is>
      </c>
      <c r="Z75" s="15" t="inlineStr">
        <is>
          <t>Annealed; 3 specimens (81/109/134 µm) gave identical result. No α'. Eqs 6,7.</t>
        </is>
      </c>
    </row>
    <row r="76" ht="32" customHeight="1">
      <c r="A76" s="264" t="inlineStr">
        <is>
          <t>metal_AISI_310_Perng_Altstetter</t>
        </is>
      </c>
      <c r="B76" s="264" t="inlineStr">
        <is>
          <t>Perng &amp; Altstetter 1986 — AISI 310 annealed, H₂, Acta Metall. 34(9):1771</t>
        </is>
      </c>
      <c r="C76" s="264" t="inlineStr">
        <is>
          <t>H₂</t>
        </is>
      </c>
      <c r="D76" s="12" t="n">
        <v>623.15</v>
      </c>
      <c r="E76" s="12" t="n">
        <v>423</v>
      </c>
      <c r="F76" s="12" t="n">
        <v>623</v>
      </c>
      <c r="G76" s="13" t="n">
        <v>2.582883732396111e-11</v>
      </c>
      <c r="H76" s="12" t="n">
        <v>53000</v>
      </c>
      <c r="I76" s="13" t="n">
        <v>7.16e-07</v>
      </c>
      <c r="J76" s="13" t="n">
        <v>0.07544638884969572</v>
      </c>
      <c r="K76" s="12" t="n">
        <v>5500</v>
      </c>
      <c r="L76" s="12" t="n">
        <v>0.2181145251396646</v>
      </c>
      <c r="M76" s="13" t="n">
        <v>1.948692504279104e-12</v>
      </c>
      <c r="N76" s="12" t="n">
        <v>58500</v>
      </c>
      <c r="O76" s="13" t="n">
        <v>1.5617e-07</v>
      </c>
      <c r="P76" s="13" t="n">
        <v>0.000175</v>
      </c>
      <c r="Q76" s="14" t="inlineStr">
        <is>
          <t>—</t>
        </is>
      </c>
      <c r="R76" s="14" t="inlineStr">
        <is>
          <t>—</t>
        </is>
      </c>
      <c r="S76" s="14" t="inlineStr">
        <is>
          <t>—</t>
        </is>
      </c>
      <c r="T76" s="14" t="inlineStr">
        <is>
          <t>—</t>
        </is>
      </c>
      <c r="U76" s="14" t="inlineStr">
        <is>
          <t>—</t>
        </is>
      </c>
      <c r="V76" s="14" t="inlineStr">
        <is>
          <t>—</t>
        </is>
      </c>
      <c r="W76" s="14" t="inlineStr">
        <is>
          <t>—</t>
        </is>
      </c>
      <c r="X76" s="14" t="inlineStr">
        <is>
          <t>—</t>
        </is>
      </c>
      <c r="Y76" s="14" t="inlineStr">
        <is>
          <t>—</t>
        </is>
      </c>
      <c r="Z76" s="15" t="inlineStr">
        <is>
          <t>Annealed 175 µm. Stable austenite — no α' up to 80% deformation. Highest Ni here (19.55% Ni, 24.76% Cr). Eqs 12,13.</t>
        </is>
      </c>
    </row>
    <row r="77" ht="32" customHeight="1">
      <c r="A77" s="264" t="inlineStr">
        <is>
          <t>metal_AL29-4-2_Perng_Altstetter</t>
        </is>
      </c>
      <c r="B77" s="264" t="inlineStr">
        <is>
          <t>Perng &amp; Altstetter 1986 — AL 29-4-2 ferritic SS annealed T&gt;170°C, H₂, Acta Metall. 34(9):1771</t>
        </is>
      </c>
      <c r="C77" s="264" t="inlineStr">
        <is>
          <t>H₂</t>
        </is>
      </c>
      <c r="D77" s="12" t="n">
        <v>623.15</v>
      </c>
      <c r="E77" s="12" t="n">
        <v>443</v>
      </c>
      <c r="F77" s="12" t="n">
        <v>623</v>
      </c>
      <c r="G77" s="13" t="n">
        <v>1.657272751656437e-09</v>
      </c>
      <c r="H77" s="12" t="n">
        <v>7000</v>
      </c>
      <c r="I77" s="13" t="n">
        <v>6.4e-09</v>
      </c>
      <c r="J77" s="13" t="n">
        <v>0.003577815994764689</v>
      </c>
      <c r="K77" s="12" t="n">
        <v>31400</v>
      </c>
      <c r="L77" s="12" t="n">
        <v>1.5338125</v>
      </c>
      <c r="M77" s="13" t="n">
        <v>5.929416958564087e-12</v>
      </c>
      <c r="N77" s="12" t="n">
        <v>38400</v>
      </c>
      <c r="O77" s="13" t="n">
        <v>9.8164e-09</v>
      </c>
      <c r="P77" s="13" t="n">
        <v>0.000195</v>
      </c>
      <c r="Q77" s="14" t="inlineStr">
        <is>
          <t>—</t>
        </is>
      </c>
      <c r="R77" s="14" t="inlineStr">
        <is>
          <t>—</t>
        </is>
      </c>
      <c r="S77" s="14" t="inlineStr">
        <is>
          <t>—</t>
        </is>
      </c>
      <c r="T77" s="14" t="inlineStr">
        <is>
          <t>—</t>
        </is>
      </c>
      <c r="U77" s="14" t="inlineStr">
        <is>
          <t>—</t>
        </is>
      </c>
      <c r="V77" s="14" t="inlineStr">
        <is>
          <t>—</t>
        </is>
      </c>
      <c r="W77" s="14" t="inlineStr">
        <is>
          <t>—</t>
        </is>
      </c>
      <c r="X77" s="14" t="inlineStr">
        <is>
          <t>—</t>
        </is>
      </c>
      <c r="Y77" s="14" t="inlineStr">
        <is>
          <t>—</t>
        </is>
      </c>
      <c r="Z77" s="15" t="inlineStr">
        <is>
          <t>Ferritic SS, 195 µm, T&gt;170°C only (break in D at ~170°C — trapping below). D ~20-30× lower than pure α-Fe despite identical E_D=7 kJ/mol. Eqs 3,5.</t>
        </is>
      </c>
    </row>
    <row r="78" ht="32" customHeight="1">
      <c r="A78" s="264" t="inlineStr">
        <is>
          <t>metal_AusteniticSS_fit_Perng_Altstetter</t>
        </is>
      </c>
      <c r="B78" s="264" t="inlineStr">
        <is>
          <t>Perng &amp; Altstetter 1986 — General austenitic SS fit (301+302+304+310), H₂, Acta Metall. 34(9):1771</t>
        </is>
      </c>
      <c r="C78" s="264" t="inlineStr">
        <is>
          <t>H₂</t>
        </is>
      </c>
      <c r="D78" s="12" t="n">
        <v>623.15</v>
      </c>
      <c r="E78" s="12" t="n">
        <v>373</v>
      </c>
      <c r="F78" s="12" t="n">
        <v>623</v>
      </c>
      <c r="G78" s="13" t="n">
        <v>1.480969784766222e-11</v>
      </c>
      <c r="H78" s="12" t="n">
        <v>49300</v>
      </c>
      <c r="I78" s="13" t="n">
        <v>2.01e-07</v>
      </c>
      <c r="J78" s="13" t="n">
        <v>0.07169586095468904</v>
      </c>
      <c r="K78" s="12" t="n">
        <v>6800</v>
      </c>
      <c r="L78" s="12" t="n">
        <v>0.2663880597014922</v>
      </c>
      <c r="M78" s="13" t="n">
        <v>1.061794037666948e-12</v>
      </c>
      <c r="N78" s="12" t="n">
        <v>56100</v>
      </c>
      <c r="O78" s="13" t="n">
        <v>5.3544e-08</v>
      </c>
      <c r="P78" s="12" t="inlineStr">
        <is>
          <t>—</t>
        </is>
      </c>
      <c r="Q78" s="14" t="inlineStr">
        <is>
          <t>—</t>
        </is>
      </c>
      <c r="R78" s="14" t="inlineStr">
        <is>
          <t>—</t>
        </is>
      </c>
      <c r="S78" s="14" t="inlineStr">
        <is>
          <t>—</t>
        </is>
      </c>
      <c r="T78" s="14" t="inlineStr">
        <is>
          <t>—</t>
        </is>
      </c>
      <c r="U78" s="14" t="inlineStr">
        <is>
          <t>—</t>
        </is>
      </c>
      <c r="V78" s="14" t="inlineStr">
        <is>
          <t>—</t>
        </is>
      </c>
      <c r="W78" s="14" t="inlineStr">
        <is>
          <t>—</t>
        </is>
      </c>
      <c r="X78" s="14" t="inlineStr">
        <is>
          <t>—</t>
        </is>
      </c>
      <c r="Y78" s="14" t="inlineStr">
        <is>
          <t>—</t>
        </is>
      </c>
      <c r="Z78" s="15" t="inlineStr">
        <is>
          <t>Least-squares fit to 4 austenitic alloys. All data within factor 2. Best general reference for austenitic SS class. Eqs 14,15.</t>
        </is>
      </c>
    </row>
    <row r="79" ht="28" customHeight="1">
      <c r="A79" s="262" t="inlineStr">
        <is>
          <t>metal_AISI_304_316_Brass_Chene_grain_boundary</t>
        </is>
      </c>
      <c r="B79" s="262" t="inlineStr">
        <is>
          <t>Brass &amp; Chene — AISI 304/316, grain boundary, T₂ -78–185°C</t>
        </is>
      </c>
      <c r="C79" s="262" t="inlineStr">
        <is>
          <t>T₂</t>
        </is>
      </c>
      <c r="D79" s="17" t="n">
        <v>458</v>
      </c>
      <c r="E79" s="17" t="n">
        <v>195</v>
      </c>
      <c r="F79" s="17" t="n">
        <v>458</v>
      </c>
      <c r="G79" s="18" t="n">
        <v>1.284e-08</v>
      </c>
      <c r="H79" s="17" t="n">
        <v>42400</v>
      </c>
      <c r="I79" s="18" t="n">
        <v>0.00088</v>
      </c>
      <c r="J79" s="14" t="inlineStr">
        <is>
          <t>—</t>
        </is>
      </c>
      <c r="K79" s="14" t="inlineStr">
        <is>
          <t>—</t>
        </is>
      </c>
      <c r="L79" s="14" t="inlineStr">
        <is>
          <t>—</t>
        </is>
      </c>
      <c r="M79" s="14" t="inlineStr">
        <is>
          <t>—</t>
        </is>
      </c>
      <c r="N79" s="14" t="inlineStr">
        <is>
          <t>—</t>
        </is>
      </c>
      <c r="O79" s="14" t="inlineStr">
        <is>
          <t>—</t>
        </is>
      </c>
      <c r="P79" s="17" t="n">
        <v>0.005</v>
      </c>
      <c r="Q79" s="14" t="inlineStr">
        <is>
          <t>—</t>
        </is>
      </c>
      <c r="R79" s="14" t="inlineStr">
        <is>
          <t>—</t>
        </is>
      </c>
      <c r="S79" s="14" t="inlineStr">
        <is>
          <t>—</t>
        </is>
      </c>
      <c r="T79" s="14" t="inlineStr">
        <is>
          <t>—</t>
        </is>
      </c>
      <c r="U79" s="14" t="inlineStr">
        <is>
          <t>—</t>
        </is>
      </c>
      <c r="V79" s="14" t="inlineStr">
        <is>
          <t>—</t>
        </is>
      </c>
      <c r="W79" s="14" t="inlineStr">
        <is>
          <t>—</t>
        </is>
      </c>
      <c r="X79" s="14" t="inlineStr">
        <is>
          <t>—</t>
        </is>
      </c>
      <c r="Y79" s="14" t="inlineStr">
        <is>
          <t>—</t>
        </is>
      </c>
      <c r="Z79" s="19" t="inlineStr">
        <is>
          <t>Grain boundary diffusion. Solubility/permeation data not provided.</t>
        </is>
      </c>
    </row>
    <row r="80">
      <c r="A80" s="264" t="inlineStr">
        <is>
          <t>metal_AISI_304_316_Louthan_Derrick</t>
        </is>
      </c>
      <c r="B80" s="264" t="inlineStr">
        <is>
          <t>Louthan &amp; Derrick — AISI 304/316, T₂ 25–222°C</t>
        </is>
      </c>
      <c r="C80" s="264" t="inlineStr">
        <is>
          <t>T₂</t>
        </is>
      </c>
      <c r="D80" s="12" t="n">
        <v>495</v>
      </c>
      <c r="E80" s="12" t="n">
        <v>298</v>
      </c>
      <c r="F80" s="12" t="n">
        <v>495</v>
      </c>
      <c r="G80" s="13" t="n">
        <v>1.178e-12</v>
      </c>
      <c r="H80" s="12" t="n">
        <v>58600</v>
      </c>
      <c r="I80" s="13" t="n">
        <v>1.8e-06</v>
      </c>
      <c r="J80" s="14" t="inlineStr">
        <is>
          <t>—</t>
        </is>
      </c>
      <c r="K80" s="14" t="inlineStr">
        <is>
          <t>—</t>
        </is>
      </c>
      <c r="L80" s="14" t="inlineStr">
        <is>
          <t>—</t>
        </is>
      </c>
      <c r="M80" s="14" t="inlineStr">
        <is>
          <t>—</t>
        </is>
      </c>
      <c r="N80" s="14" t="inlineStr">
        <is>
          <t>—</t>
        </is>
      </c>
      <c r="O80" s="14" t="inlineStr">
        <is>
          <t>—</t>
        </is>
      </c>
      <c r="P80" s="12" t="n">
        <v>0.005</v>
      </c>
      <c r="Q80" s="14" t="inlineStr">
        <is>
          <t>—</t>
        </is>
      </c>
      <c r="R80" s="14" t="inlineStr">
        <is>
          <t>—</t>
        </is>
      </c>
      <c r="S80" s="14" t="inlineStr">
        <is>
          <t>—</t>
        </is>
      </c>
      <c r="T80" s="14" t="inlineStr">
        <is>
          <t>—</t>
        </is>
      </c>
      <c r="U80" s="14" t="inlineStr">
        <is>
          <t>—</t>
        </is>
      </c>
      <c r="V80" s="14" t="inlineStr">
        <is>
          <t>—</t>
        </is>
      </c>
      <c r="W80" s="14" t="inlineStr">
        <is>
          <t>—</t>
        </is>
      </c>
      <c r="X80" s="14" t="inlineStr">
        <is>
          <t>—</t>
        </is>
      </c>
      <c r="Y80" s="14" t="inlineStr">
        <is>
          <t>—</t>
        </is>
      </c>
      <c r="Z80" s="15" t="inlineStr">
        <is>
          <t>Solubility/permeation data not provided.</t>
        </is>
      </c>
    </row>
    <row r="81">
      <c r="A81" s="262" t="inlineStr">
        <is>
          <t>metal_AISI_304L_Louthan</t>
        </is>
      </c>
      <c r="B81" s="262" t="inlineStr">
        <is>
          <t>Louthan et al. — AISI 304L, T₂ 22–157°C</t>
        </is>
      </c>
      <c r="C81" s="262" t="inlineStr">
        <is>
          <t>T₂</t>
        </is>
      </c>
      <c r="D81" s="17" t="n">
        <v>430</v>
      </c>
      <c r="E81" s="17" t="n">
        <v>295</v>
      </c>
      <c r="F81" s="17" t="n">
        <v>430</v>
      </c>
      <c r="G81" s="18" t="n">
        <v>7.437999999999999e-14</v>
      </c>
      <c r="H81" s="17" t="n">
        <v>54000</v>
      </c>
      <c r="I81" s="18" t="n">
        <v>2.7e-07</v>
      </c>
      <c r="J81" s="14" t="inlineStr">
        <is>
          <t>—</t>
        </is>
      </c>
      <c r="K81" s="14" t="inlineStr">
        <is>
          <t>—</t>
        </is>
      </c>
      <c r="L81" s="14" t="inlineStr">
        <is>
          <t>—</t>
        </is>
      </c>
      <c r="M81" s="14" t="inlineStr">
        <is>
          <t>—</t>
        </is>
      </c>
      <c r="N81" s="14" t="inlineStr">
        <is>
          <t>—</t>
        </is>
      </c>
      <c r="O81" s="14" t="inlineStr">
        <is>
          <t>—</t>
        </is>
      </c>
      <c r="P81" s="17" t="n">
        <v>0.005</v>
      </c>
      <c r="Q81" s="14" t="inlineStr">
        <is>
          <t>—</t>
        </is>
      </c>
      <c r="R81" s="14" t="inlineStr">
        <is>
          <t>—</t>
        </is>
      </c>
      <c r="S81" s="14" t="inlineStr">
        <is>
          <t>—</t>
        </is>
      </c>
      <c r="T81" s="14" t="inlineStr">
        <is>
          <t>—</t>
        </is>
      </c>
      <c r="U81" s="14" t="inlineStr">
        <is>
          <t>—</t>
        </is>
      </c>
      <c r="V81" s="14" t="inlineStr">
        <is>
          <t>—</t>
        </is>
      </c>
      <c r="W81" s="14" t="inlineStr">
        <is>
          <t>—</t>
        </is>
      </c>
      <c r="X81" s="14" t="inlineStr">
        <is>
          <t>—</t>
        </is>
      </c>
      <c r="Y81" s="14" t="inlineStr">
        <is>
          <t>—</t>
        </is>
      </c>
      <c r="Z81" s="19" t="inlineStr">
        <is>
          <t>Solubility/permeation data not provided.</t>
        </is>
      </c>
    </row>
    <row r="82">
      <c r="A82" s="264" t="inlineStr">
        <is>
          <t>Incoloy800_JAERI_Forcey</t>
        </is>
      </c>
      <c r="B82" s="264" t="inlineStr">
        <is>
          <t>JAERI-Tech 2002-090; Forcey et al. 1988</t>
        </is>
      </c>
      <c r="C82" s="264" t="inlineStr">
        <is>
          <t>H₂</t>
        </is>
      </c>
      <c r="D82" s="12" t="n">
        <v>1073.15</v>
      </c>
      <c r="E82" s="12" t="n">
        <v>873</v>
      </c>
      <c r="F82" s="12" t="n">
        <v>1273</v>
      </c>
      <c r="G82" s="13" t="n">
        <v>1.43e-09</v>
      </c>
      <c r="H82" s="12" t="n">
        <v>52000</v>
      </c>
      <c r="I82" s="14" t="inlineStr">
        <is>
          <t>—</t>
        </is>
      </c>
      <c r="J82" s="12" t="n">
        <v>0.0592</v>
      </c>
      <c r="K82" s="12" t="n">
        <v>-20000</v>
      </c>
      <c r="L82" s="14" t="inlineStr">
        <is>
          <t>—</t>
        </is>
      </c>
      <c r="M82" s="14" t="inlineStr">
        <is>
          <t>—</t>
        </is>
      </c>
      <c r="N82" s="14" t="inlineStr">
        <is>
          <t>—</t>
        </is>
      </c>
      <c r="O82" s="14" t="inlineStr">
        <is>
          <t>—</t>
        </is>
      </c>
      <c r="P82" s="14" t="inlineStr">
        <is>
          <t>—</t>
        </is>
      </c>
      <c r="Q82" s="14" t="inlineStr">
        <is>
          <t>—</t>
        </is>
      </c>
      <c r="R82" s="14" t="inlineStr">
        <is>
          <t>—</t>
        </is>
      </c>
      <c r="S82" s="14" t="inlineStr">
        <is>
          <t>—</t>
        </is>
      </c>
      <c r="T82" s="14" t="inlineStr">
        <is>
          <t>—</t>
        </is>
      </c>
      <c r="U82" s="14" t="inlineStr">
        <is>
          <t>—</t>
        </is>
      </c>
      <c r="V82" s="14" t="inlineStr">
        <is>
          <t>—</t>
        </is>
      </c>
      <c r="W82" s="14" t="inlineStr">
        <is>
          <t>—</t>
        </is>
      </c>
      <c r="X82" s="14" t="inlineStr">
        <is>
          <t>—</t>
        </is>
      </c>
      <c r="Y82" s="14" t="inlineStr">
        <is>
          <t>—</t>
        </is>
      </c>
      <c r="Z82" s="15" t="inlineStr">
        <is>
          <t>Calibrated to experimental permeability data.</t>
        </is>
      </c>
    </row>
    <row r="83">
      <c r="A83" s="262" t="inlineStr">
        <is>
          <t>Fe_alpha_SanMarchi2007</t>
        </is>
      </c>
      <c r="B83" s="262" t="inlineStr">
        <is>
          <t>San Marchi 2007</t>
        </is>
      </c>
      <c r="C83" s="262" t="inlineStr">
        <is>
          <t>H₂</t>
        </is>
      </c>
      <c r="D83" s="17" t="n">
        <v>1073.15</v>
      </c>
      <c r="E83" s="17" t="n">
        <v>298</v>
      </c>
      <c r="F83" s="17" t="n">
        <v>1173</v>
      </c>
      <c r="G83" s="18" t="n">
        <v>2.5e-08</v>
      </c>
      <c r="H83" s="17" t="n">
        <v>4200</v>
      </c>
      <c r="I83" s="14" t="inlineStr">
        <is>
          <t>—</t>
        </is>
      </c>
      <c r="J83" s="17" t="n">
        <v>0.12</v>
      </c>
      <c r="K83" s="17" t="n">
        <v>28600</v>
      </c>
      <c r="L83" s="14" t="inlineStr">
        <is>
          <t>—</t>
        </is>
      </c>
      <c r="M83" s="14" t="inlineStr">
        <is>
          <t>—</t>
        </is>
      </c>
      <c r="N83" s="14" t="inlineStr">
        <is>
          <t>—</t>
        </is>
      </c>
      <c r="O83" s="14" t="inlineStr">
        <is>
          <t>—</t>
        </is>
      </c>
      <c r="P83" s="14" t="inlineStr">
        <is>
          <t>—</t>
        </is>
      </c>
      <c r="Q83" s="14" t="inlineStr">
        <is>
          <t>—</t>
        </is>
      </c>
      <c r="R83" s="14" t="inlineStr">
        <is>
          <t>—</t>
        </is>
      </c>
      <c r="S83" s="14" t="inlineStr">
        <is>
          <t>—</t>
        </is>
      </c>
      <c r="T83" s="14" t="inlineStr">
        <is>
          <t>—</t>
        </is>
      </c>
      <c r="U83" s="14" t="inlineStr">
        <is>
          <t>—</t>
        </is>
      </c>
      <c r="V83" s="14" t="inlineStr">
        <is>
          <t>—</t>
        </is>
      </c>
      <c r="W83" s="14" t="inlineStr">
        <is>
          <t>—</t>
        </is>
      </c>
      <c r="X83" s="14" t="inlineStr">
        <is>
          <t>—</t>
        </is>
      </c>
      <c r="Y83" s="14" t="inlineStr">
        <is>
          <t>—</t>
        </is>
      </c>
      <c r="Z83" s="20" t="inlineStr">
        <is>
          <t>—</t>
        </is>
      </c>
    </row>
  </sheetData>
  <mergeCells count="2">
    <mergeCell ref="A1:Z1"/>
    <mergeCell ref="A2:Z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38" customWidth="1" min="2" max="2"/>
    <col width="14" customWidth="1" min="3" max="3"/>
    <col width="14" customWidth="1" min="4" max="4"/>
    <col width="14" customWidth="1" min="5" max="5"/>
    <col width="26" customWidth="1" min="6" max="6"/>
    <col width="14" customWidth="1" min="7" max="7"/>
    <col width="18" customWidth="1" min="8" max="8"/>
    <col width="18" customWidth="1" min="9" max="9"/>
    <col width="18" customWidth="1" min="10" max="10"/>
    <col width="38" customWidth="1" min="11" max="11"/>
  </cols>
  <sheetData>
    <row r="1" ht="22" customHeight="1">
      <c r="A1" s="21" t="inlineStr">
        <is>
          <t>Metal Surface Kinetics — Grant 1988 (316 Steel, H₂)</t>
        </is>
      </c>
    </row>
    <row r="2" ht="14" customHeight="1">
      <c r="A2" s="9" t="inlineStr">
        <is>
          <t>Only source in database with full Arrhenius surface rate parameters. Analog for Hastelloy X/N metal surface. T_ref=965K.</t>
        </is>
      </c>
    </row>
    <row r="3" ht="30" customHeight="1">
      <c r="A3" s="22" t="inlineStr">
        <is>
          <t>Material Key</t>
        </is>
      </c>
      <c r="B3" s="22" t="inlineStr">
        <is>
          <t>Reference</t>
        </is>
      </c>
      <c r="C3" s="22" t="inlineStr">
        <is>
          <t>Gas</t>
        </is>
      </c>
      <c r="D3" s="22" t="inlineStr">
        <is>
          <t>T_ref (K)</t>
        </is>
      </c>
      <c r="E3" s="22" t="inlineStr">
        <is>
          <t>T range (K)</t>
        </is>
      </c>
      <c r="F3" s="22" t="inlineStr">
        <is>
          <t>Surface Condition</t>
        </is>
      </c>
      <c r="G3" s="22" t="inlineStr">
        <is>
          <t>Physical Quantity</t>
        </is>
      </c>
      <c r="H3" s="22" t="inlineStr">
        <is>
          <t>k1_ref (mol/m²/s/Pa)</t>
        </is>
      </c>
      <c r="I3" s="22" t="inlineStr">
        <is>
          <t>E_k1 (J/mol)</t>
        </is>
      </c>
      <c r="J3" s="22" t="inlineStr">
        <is>
          <t>k1_0 (mol/m²/s/Pa)</t>
        </is>
      </c>
      <c r="K3" s="22" t="inlineStr">
        <is>
          <t>Notes</t>
        </is>
      </c>
    </row>
    <row r="4" ht="28" customHeight="1">
      <c r="A4" s="264" t="inlineStr">
        <is>
          <t>metal_316_steel_Grant1988</t>
        </is>
      </c>
      <c r="B4" s="264" t="inlineStr">
        <is>
          <t>Grant et al. 1988</t>
        </is>
      </c>
      <c r="C4" s="264" t="inlineStr">
        <is>
          <t>H₂</t>
        </is>
      </c>
      <c r="D4" s="23" t="n">
        <v>965</v>
      </c>
      <c r="E4" s="264" t="inlineStr">
        <is>
          <t>502-965</t>
        </is>
      </c>
      <c r="F4" s="264" t="inlineStr">
        <is>
          <t>Clean (sputter-cleaned)</t>
        </is>
      </c>
      <c r="G4" s="264" t="inlineStr">
        <is>
          <t>k1 = dissociative adsorption / recombination</t>
        </is>
      </c>
      <c r="H4" s="13" t="n">
        <v>1.346e-06</v>
      </c>
      <c r="I4" s="12" t="n">
        <v>81560.34</v>
      </c>
      <c r="J4" s="12" t="n">
        <v>0.035</v>
      </c>
      <c r="K4" s="15" t="inlineStr">
        <is>
          <t>All values at upper bound of stated uncertainty. Directly measured at 502-965 K. p-range: 0.01-10000 Pa.</t>
        </is>
      </c>
    </row>
    <row r="5" ht="28" customHeight="1">
      <c r="A5" s="262" t="inlineStr">
        <is>
          <t>metal_316_steel_Grant1988</t>
        </is>
      </c>
      <c r="B5" s="262" t="inlineStr">
        <is>
          <t>Grant et al. 1988</t>
        </is>
      </c>
      <c r="C5" s="262" t="inlineStr">
        <is>
          <t>H₂</t>
        </is>
      </c>
      <c r="D5" s="24" t="n">
        <v>965</v>
      </c>
      <c r="E5" s="262" t="inlineStr">
        <is>
          <t>502-965</t>
        </is>
      </c>
      <c r="F5" s="262" t="inlineStr">
        <is>
          <t>Partial ion-beam cleaned</t>
        </is>
      </c>
      <c r="G5" s="262" t="inlineStr">
        <is>
          <t>k1 = dissociative adsorption / recombination</t>
        </is>
      </c>
      <c r="H5" s="18" t="n">
        <v>6.725999999999999e-08</v>
      </c>
      <c r="I5" s="17" t="n">
        <v>61856.16</v>
      </c>
      <c r="J5" s="18" t="n">
        <v>0.00015</v>
      </c>
      <c r="K5" s="19" t="inlineStr">
        <is>
          <t>Intermediate surface oxidation state. Partially cleaned by ion beam.</t>
        </is>
      </c>
    </row>
    <row r="6" ht="28" customHeight="1">
      <c r="A6" s="264" t="inlineStr">
        <is>
          <t>metal_316_steel_Grant1988</t>
        </is>
      </c>
      <c r="B6" s="264" t="inlineStr">
        <is>
          <t>Grant et al. 1988</t>
        </is>
      </c>
      <c r="C6" s="264" t="inlineStr">
        <is>
          <t>H₂</t>
        </is>
      </c>
      <c r="D6" s="23" t="n">
        <v>965</v>
      </c>
      <c r="E6" s="264" t="inlineStr">
        <is>
          <t>502-965</t>
        </is>
      </c>
      <c r="F6" s="264" t="inlineStr">
        <is>
          <t>Oxidized both sides</t>
        </is>
      </c>
      <c r="G6" s="264" t="inlineStr">
        <is>
          <t>k1 = dissociative adsorption / recombination</t>
        </is>
      </c>
      <c r="H6" s="13" t="n">
        <v>9.2e-08</v>
      </c>
      <c r="I6" s="12" t="n">
        <v>59860.8</v>
      </c>
      <c r="J6" s="13" t="n">
        <v>0.00016</v>
      </c>
      <c r="K6" s="15" t="inlineStr">
        <is>
          <t>Foil oxidized on both sides. Best analog for Hastelloy X/N with native surface oxide.</t>
        </is>
      </c>
    </row>
  </sheetData>
  <mergeCells count="2">
    <mergeCell ref="A2:K2"/>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1"/>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4" customWidth="1" min="2" max="2"/>
    <col width="26" customWidth="1" min="3" max="3"/>
    <col width="14" customWidth="1" min="4" max="4"/>
    <col width="14" customWidth="1" min="5" max="5"/>
    <col width="14" customWidth="1" min="6" max="6"/>
    <col width="14" customWidth="1" min="7" max="7"/>
    <col width="14"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4" customWidth="1" min="17" max="17"/>
    <col width="14" customWidth="1" min="18" max="18"/>
    <col width="38" customWidth="1" min="19" max="19"/>
  </cols>
  <sheetData>
    <row r="1" ht="22" customHeight="1">
      <c r="A1" s="25" t="inlineStr">
        <is>
          <t>Oxide Layer Transport Properties — Literature Database</t>
        </is>
      </c>
    </row>
    <row r="2" ht="14" customHeight="1">
      <c r="A2" s="9" t="inlineStr">
        <is>
          <t>Sources: Nemanic 2023 | Roberts 1979 | Belonoshko 2004 | Chen 2011 (DFT) | Medasani 2019 (DFT) | Hollenberg 1995</t>
        </is>
      </c>
    </row>
    <row r="3" ht="30" customHeight="1">
      <c r="A3" s="26" t="inlineStr">
        <is>
          <t>Entry Key</t>
        </is>
      </c>
      <c r="B3" s="26" t="inlineStr">
        <is>
          <t>Oxide Type</t>
        </is>
      </c>
      <c r="C3" s="26" t="inlineStr">
        <is>
          <t>Substrate</t>
        </is>
      </c>
      <c r="D3" s="26" t="inlineStr">
        <is>
          <t>Source</t>
        </is>
      </c>
      <c r="E3" s="26" t="inlineStr">
        <is>
          <t>Data Tier</t>
        </is>
      </c>
      <c r="F3" s="26" t="inlineStr">
        <is>
          <t>T_ref (K)</t>
        </is>
      </c>
      <c r="G3" s="26" t="inlineStr">
        <is>
          <t>T_min (K)</t>
        </is>
      </c>
      <c r="H3" s="26" t="inlineStr">
        <is>
          <t>T_max (K)</t>
        </is>
      </c>
      <c r="I3" s="26" t="inlineStr">
        <is>
          <t>D_ox_ref (m²/s)</t>
        </is>
      </c>
      <c r="J3" s="26" t="inlineStr">
        <is>
          <t>E_D_ox (J/mol)</t>
        </is>
      </c>
      <c r="K3" s="26" t="inlineStr">
        <is>
          <t>D_ox_0 (m²/s)</t>
        </is>
      </c>
      <c r="L3" s="26" t="inlineStr">
        <is>
          <t>K_ox_ref (mol/m³/Pa⁰·⁵)</t>
        </is>
      </c>
      <c r="M3" s="26" t="inlineStr">
        <is>
          <t>H_sol_ox (J/mol)</t>
        </is>
      </c>
      <c r="N3" s="26" t="inlineStr">
        <is>
          <t>K_ox_0 (mol/m³/Pa⁰·⁵)</t>
        </is>
      </c>
      <c r="O3" s="26" t="inlineStr">
        <is>
          <t>Phi_ox_ref (mol/m/s/Pa⁰·⁵)</t>
        </is>
      </c>
      <c r="P3" s="26" t="inlineStr">
        <is>
          <t>Q_p_ox (J/mol)</t>
        </is>
      </c>
      <c r="Q3" s="26" t="inlineStr">
        <is>
          <t>Thickness (m)</t>
        </is>
      </c>
      <c r="R3" s="26" t="inlineStr">
        <is>
          <t>PRF</t>
        </is>
      </c>
      <c r="S3" s="26" t="inlineStr">
        <is>
          <t>Notes</t>
        </is>
      </c>
    </row>
    <row r="4" ht="28" customHeight="1">
      <c r="A4" s="264" t="inlineStr">
        <is>
          <t>Cr2O3 — 48nm primary (Sample 4)</t>
        </is>
      </c>
      <c r="B4" s="264" t="inlineStr">
        <is>
          <t>Cr2O3</t>
        </is>
      </c>
      <c r="C4" s="264" t="inlineStr">
        <is>
          <t>Pure Cr 99.95%</t>
        </is>
      </c>
      <c r="D4" s="264" t="inlineStr">
        <is>
          <t>Nemanic et al. 2023</t>
        </is>
      </c>
      <c r="E4" s="264" t="inlineStr">
        <is>
          <t>1</t>
        </is>
      </c>
      <c r="F4" s="12" t="n">
        <v>673</v>
      </c>
      <c r="G4" s="23" t="n">
        <v>473</v>
      </c>
      <c r="H4" s="23" t="n">
        <v>773</v>
      </c>
      <c r="I4" s="13" t="n">
        <v>9.600000000000001e-19</v>
      </c>
      <c r="J4" s="12" t="n">
        <v>70434</v>
      </c>
      <c r="K4" s="13" t="n">
        <v>2.8131e-13</v>
      </c>
      <c r="L4" s="12" t="n">
        <v>0.35417</v>
      </c>
      <c r="M4" s="23" t="n">
        <v>0</v>
      </c>
      <c r="N4" s="12" t="n">
        <v>0.35417</v>
      </c>
      <c r="O4" s="13" t="n">
        <v>3.4e-19</v>
      </c>
      <c r="P4" s="12" t="n">
        <v>70434</v>
      </c>
      <c r="Q4" s="13" t="n">
        <v>4.8e-08</v>
      </c>
      <c r="R4" s="14" t="inlineStr">
        <is>
          <t>—</t>
        </is>
      </c>
      <c r="S4" s="15" t="inlineStr">
        <is>
          <t>D_ox_ref and Phi_ox_ref: Table 3 Nemanic 2023. E_D_ox (0.73 eV): Chen 2011 DFT. H_sol_ox=0 assumed (not measured in any source). D_ox_0 and K_ox_0 back-calculated. Uncertainty factor x10.</t>
        </is>
      </c>
    </row>
    <row r="5" ht="28" customHeight="1">
      <c r="A5" s="262" t="inlineStr">
        <is>
          <t>Cr2O3 — 28nm (Sample 3, PRF=3900)</t>
        </is>
      </c>
      <c r="B5" s="262" t="inlineStr">
        <is>
          <t>Cr2O3</t>
        </is>
      </c>
      <c r="C5" s="262" t="inlineStr">
        <is>
          <t>Pure Cr 99.95%</t>
        </is>
      </c>
      <c r="D5" s="262" t="inlineStr">
        <is>
          <t>Nemanic et al. 2023</t>
        </is>
      </c>
      <c r="E5" s="262" t="inlineStr">
        <is>
          <t>1</t>
        </is>
      </c>
      <c r="F5" s="17" t="n">
        <v>673</v>
      </c>
      <c r="G5" s="24" t="n">
        <v>673</v>
      </c>
      <c r="H5" s="24" t="n">
        <v>673</v>
      </c>
      <c r="I5" s="190" t="n">
        <v>7.8e-19</v>
      </c>
      <c r="J5" s="17" t="n">
        <v>70434</v>
      </c>
      <c r="K5" s="18" t="n">
        <v>2.8131e-13</v>
      </c>
      <c r="L5" s="191" t="n">
        <v>0.08974358974358974</v>
      </c>
      <c r="M5" s="24" t="n">
        <v>0</v>
      </c>
      <c r="N5" s="191" t="n">
        <v>0.08974358974358974</v>
      </c>
      <c r="O5" s="18" t="n">
        <v>7e-20</v>
      </c>
      <c r="P5" s="14" t="inlineStr">
        <is>
          <t>—</t>
        </is>
      </c>
      <c r="Q5" s="18" t="n">
        <v>2.8e-08</v>
      </c>
      <c r="R5" s="17" t="n">
        <v>3900</v>
      </c>
      <c r="S5" s="192" t="inlineStr">
        <is>
          <t>Best barrier in study. PRF=3900 at 28nm. Phi_ox_ref = 7.0×10⁻²⁰ mol/m/s/Pa⁰·⁵ directly measured at 673K (Table 3, Nemanic 2023). D_ox_ref = 7.8×10⁻¹⁹ m²/s back-calculated via Eq.5 (Nemanic 2023) from measured pre-oxidation time-lag iLDL=200s — requires D_B from Sample 5 Arrhenius and PRF from permeation measurements. K_ox_ref = Phi_ox_ref / D_ox_ref = 7.0×10⁻²⁰ / 7.8×10⁻¹⁹ = 8.974×10⁻² mol/m³/Pa⁰·⁵. K_ox_0 = K_ox_ref (H_sol_ox=0 assumed — not measured; single temperature 673K only in Nemanic 2023 — Q_p_ox and H_sol_ox cannot be extracted without multi-temperature oxide permeation data). E_D_ox = 70,434 J/mol (0.73 eV) from Chen 2011 DFT. Pressure dependence shifts to p^1 after oxidation — surface-limited regime. Only one high-pressure data point measurable after oxidation. Full raw data in Nemanic2023_RawData sheet.</t>
        </is>
      </c>
    </row>
    <row r="6" ht="28" customHeight="1">
      <c r="A6" s="264" t="inlineStr">
        <is>
          <t>Cr2O3 — 2.7nm native (Sample 6)</t>
        </is>
      </c>
      <c r="B6" s="264" t="inlineStr">
        <is>
          <t>Cr2O3</t>
        </is>
      </c>
      <c r="C6" s="264" t="inlineStr">
        <is>
          <t>Pure Cr 99.95%</t>
        </is>
      </c>
      <c r="D6" s="264" t="inlineStr">
        <is>
          <t>Nemanic et al. 2023</t>
        </is>
      </c>
      <c r="E6" s="264" t="inlineStr">
        <is>
          <t>2</t>
        </is>
      </c>
      <c r="F6" s="12" t="n">
        <v>673</v>
      </c>
      <c r="G6" s="23" t="n">
        <v>673</v>
      </c>
      <c r="H6" s="23" t="n">
        <v>673</v>
      </c>
      <c r="I6" s="14" t="inlineStr">
        <is>
          <t>—</t>
        </is>
      </c>
      <c r="J6" s="14" t="inlineStr">
        <is>
          <t>—</t>
        </is>
      </c>
      <c r="K6" s="14" t="inlineStr">
        <is>
          <t>—</t>
        </is>
      </c>
      <c r="L6" s="14" t="inlineStr">
        <is>
          <t>—</t>
        </is>
      </c>
      <c r="M6" s="14" t="inlineStr">
        <is>
          <t>—</t>
        </is>
      </c>
      <c r="N6" s="14" t="inlineStr">
        <is>
          <t>—</t>
        </is>
      </c>
      <c r="O6" s="14" t="inlineStr">
        <is>
          <t>—</t>
        </is>
      </c>
      <c r="P6" s="14" t="inlineStr">
        <is>
          <t>—</t>
        </is>
      </c>
      <c r="Q6" s="13" t="n">
        <v>2.7e-09</v>
      </c>
      <c r="R6" s="12" t="n">
        <v>5.2</v>
      </c>
      <c r="S6" s="15" t="inlineStr">
        <is>
          <t>Native oxide. PRF=5.2 average (range 3-9, 73% scatter between identically prepared samples). Back-calculation unreliable.</t>
        </is>
      </c>
    </row>
    <row r="7" ht="28" customHeight="1">
      <c r="A7" s="262" t="inlineStr">
        <is>
          <t>Cr_bare Pd-coated — reference metal</t>
        </is>
      </c>
      <c r="B7" s="262" t="inlineStr">
        <is>
          <t>Pure Cr (bare)</t>
        </is>
      </c>
      <c r="C7" s="262" t="inlineStr">
        <is>
          <t>Pure Cr 99.95%</t>
        </is>
      </c>
      <c r="D7" s="262" t="inlineStr">
        <is>
          <t>Nemanic et al. 2023</t>
        </is>
      </c>
      <c r="E7" s="262" t="inlineStr">
        <is>
          <t>N/A</t>
        </is>
      </c>
      <c r="F7" s="17" t="n">
        <v>673</v>
      </c>
      <c r="G7" s="24" t="n">
        <v>473</v>
      </c>
      <c r="H7" s="24" t="n">
        <v>773</v>
      </c>
      <c r="I7" s="18" t="n">
        <v>3.4352e-09</v>
      </c>
      <c r="J7" s="17" t="n">
        <v>56924</v>
      </c>
      <c r="K7" s="18" t="n">
        <v>9.000000000000001e-05</v>
      </c>
      <c r="L7" s="18" t="n">
        <v>0.00075858</v>
      </c>
      <c r="M7" s="14" t="inlineStr">
        <is>
          <t>—</t>
        </is>
      </c>
      <c r="N7" s="14" t="inlineStr">
        <is>
          <t>—</t>
        </is>
      </c>
      <c r="O7" s="18" t="n">
        <v>2.6058e-12</v>
      </c>
      <c r="P7" s="17" t="n">
        <v>65620</v>
      </c>
      <c r="Q7" s="17" t="n">
        <v>0.001</v>
      </c>
      <c r="R7" s="14" t="inlineStr">
        <is>
          <t>—</t>
        </is>
      </c>
      <c r="S7" s="19" t="inlineStr">
        <is>
          <t>BARE METAL reference (Sample 5). Pd-coated both sides to remove oxide. Parameters are for pure Cr bulk, not any oxide layer.</t>
        </is>
      </c>
    </row>
    <row r="8" ht="28" customHeight="1">
      <c r="A8" s="264" t="inlineStr">
        <is>
          <t>Al2O3 sintered — primary</t>
        </is>
      </c>
      <c r="B8" s="264" t="inlineStr">
        <is>
          <t>Al2O3</t>
        </is>
      </c>
      <c r="C8" s="264" t="inlineStr">
        <is>
          <t>Standalone sintered alumina</t>
        </is>
      </c>
      <c r="D8" s="264" t="inlineStr">
        <is>
          <t>Roberts 1979 + Belonoshko 2004</t>
        </is>
      </c>
      <c r="E8" s="264" t="inlineStr">
        <is>
          <t>1</t>
        </is>
      </c>
      <c r="F8" s="12" t="n">
        <v>1623</v>
      </c>
      <c r="G8" s="23" t="n">
        <v>1473</v>
      </c>
      <c r="H8" s="23" t="n">
        <v>1723</v>
      </c>
      <c r="I8" s="13" t="n">
        <v>3.0647e-11</v>
      </c>
      <c r="J8" s="12" t="n">
        <v>119641</v>
      </c>
      <c r="K8" s="13" t="n">
        <v>2.173e-07</v>
      </c>
      <c r="L8" s="12" t="n">
        <v>4.9077</v>
      </c>
      <c r="M8" s="12" t="n">
        <v>198559</v>
      </c>
      <c r="N8" s="13" t="n">
        <v>12065000</v>
      </c>
      <c r="O8" s="13" t="n">
        <v>1.504e-10</v>
      </c>
      <c r="P8" s="12" t="n">
        <v>318200</v>
      </c>
      <c r="Q8" s="13" t="n">
        <v>1e-06</v>
      </c>
      <c r="R8" s="14" t="inlineStr">
        <is>
          <t>—</t>
        </is>
      </c>
      <c r="S8" s="15" t="inlineStr">
        <is>
          <t>CURRENTLY IN USE in sensitivity CSV. Full Arrhenius via Roberts 1979 Eq.(4) Q_p=318200, Belonoshko 2004 E_D=119641. H_sol=Q_p-E_D=198559. Roberts measured n=0.43; Sieverts re-assumed at 101325 Pa (scale=0.4463). Uncertainty x10.</t>
        </is>
      </c>
    </row>
    <row r="9" ht="28" customHeight="1">
      <c r="A9" s="262" t="inlineStr">
        <is>
          <t>Cr2O3 on SS316 — TREXMAN upstream</t>
        </is>
      </c>
      <c r="B9" s="262" t="inlineStr">
        <is>
          <t>Cr2O3</t>
        </is>
      </c>
      <c r="C9" s="262" t="inlineStr">
        <is>
          <t>SS316</t>
        </is>
      </c>
      <c r="D9" s="262" t="inlineStr">
        <is>
          <t>Hollenberg 1995 (TREXMAN/YAYOI)</t>
        </is>
      </c>
      <c r="E9" s="262" t="inlineStr">
        <is>
          <t>3</t>
        </is>
      </c>
      <c r="F9" s="17" t="n">
        <v>873</v>
      </c>
      <c r="G9" s="24" t="n">
        <v>873</v>
      </c>
      <c r="H9" s="24" t="n">
        <v>873</v>
      </c>
      <c r="I9" s="14" t="inlineStr">
        <is>
          <t>—</t>
        </is>
      </c>
      <c r="J9" s="14" t="inlineStr">
        <is>
          <t>—</t>
        </is>
      </c>
      <c r="K9" s="14" t="inlineStr">
        <is>
          <t>—</t>
        </is>
      </c>
      <c r="L9" s="14" t="inlineStr">
        <is>
          <t>—</t>
        </is>
      </c>
      <c r="M9" s="14" t="inlineStr">
        <is>
          <t>—</t>
        </is>
      </c>
      <c r="N9" s="14" t="inlineStr">
        <is>
          <t>—</t>
        </is>
      </c>
      <c r="O9" s="14" t="inlineStr">
        <is>
          <t>—</t>
        </is>
      </c>
      <c r="P9" s="14" t="inlineStr">
        <is>
          <t>—</t>
        </is>
      </c>
      <c r="Q9" s="14" t="inlineStr">
        <is>
          <t>—</t>
        </is>
      </c>
      <c r="R9" s="17" t="n">
        <v>10</v>
      </c>
      <c r="S9" s="19" t="inlineStr">
        <is>
          <t>IN-REACTOR. Cr2O3 upstream (touching Pb-17Li). PRF=10 (poor). Chemically reduced by liquid metal. No standalone Phi_ox extractable.</t>
        </is>
      </c>
    </row>
    <row r="10" ht="28" customHeight="1">
      <c r="A10" s="264" t="inlineStr">
        <is>
          <t>Cr2O3 on SS316 — TREXMAN downstream</t>
        </is>
      </c>
      <c r="B10" s="264" t="inlineStr">
        <is>
          <t>Cr2O3</t>
        </is>
      </c>
      <c r="C10" s="264" t="inlineStr">
        <is>
          <t>SS316</t>
        </is>
      </c>
      <c r="D10" s="264" t="inlineStr">
        <is>
          <t>Hollenberg 1995 (TREXMAN/YAYOI)</t>
        </is>
      </c>
      <c r="E10" s="264" t="inlineStr">
        <is>
          <t>3</t>
        </is>
      </c>
      <c r="F10" s="12" t="n">
        <v>873</v>
      </c>
      <c r="G10" s="23" t="n">
        <v>873</v>
      </c>
      <c r="H10" s="23" t="n">
        <v>873</v>
      </c>
      <c r="I10" s="14" t="inlineStr">
        <is>
          <t>—</t>
        </is>
      </c>
      <c r="J10" s="14" t="inlineStr">
        <is>
          <t>—</t>
        </is>
      </c>
      <c r="K10" s="14" t="inlineStr">
        <is>
          <t>—</t>
        </is>
      </c>
      <c r="L10" s="14" t="inlineStr">
        <is>
          <t>—</t>
        </is>
      </c>
      <c r="M10" s="14" t="inlineStr">
        <is>
          <t>—</t>
        </is>
      </c>
      <c r="N10" s="14" t="inlineStr">
        <is>
          <t>—</t>
        </is>
      </c>
      <c r="O10" s="14" t="inlineStr">
        <is>
          <t>—</t>
        </is>
      </c>
      <c r="P10" s="14" t="inlineStr">
        <is>
          <t>—</t>
        </is>
      </c>
      <c r="Q10" s="14" t="inlineStr">
        <is>
          <t>—</t>
        </is>
      </c>
      <c r="R10" s="12" t="n">
        <v>100</v>
      </c>
      <c r="S10" s="15" t="inlineStr">
        <is>
          <t>IN-REACTOR. Cr2O3 exterior (no Pb-17Li contact). PRF=100. Improved vs upstream. No standalone Phi_ox extractable.</t>
        </is>
      </c>
    </row>
    <row r="11" ht="28" customHeight="1">
      <c r="A11" s="262" t="inlineStr">
        <is>
          <t>Al2O3 — Q_p only (Hollenberg citing Roberts)</t>
        </is>
      </c>
      <c r="B11" s="262" t="inlineStr">
        <is>
          <t>Al2O3</t>
        </is>
      </c>
      <c r="C11" s="262" t="inlineStr">
        <is>
          <t>Standalone sintered alumina</t>
        </is>
      </c>
      <c r="D11" s="262" t="inlineStr">
        <is>
          <t>Hollenberg 1995 citing Roberts 1979</t>
        </is>
      </c>
      <c r="E11" s="262" t="inlineStr">
        <is>
          <t>3</t>
        </is>
      </c>
      <c r="F11" s="14" t="inlineStr">
        <is>
          <t>—</t>
        </is>
      </c>
      <c r="G11" s="24" t="n">
        <v>573</v>
      </c>
      <c r="H11" s="24" t="n">
        <v>973</v>
      </c>
      <c r="I11" s="14" t="inlineStr">
        <is>
          <t>—</t>
        </is>
      </c>
      <c r="J11" s="14" t="inlineStr">
        <is>
          <t>—</t>
        </is>
      </c>
      <c r="K11" s="14" t="inlineStr">
        <is>
          <t>—</t>
        </is>
      </c>
      <c r="L11" s="14" t="inlineStr">
        <is>
          <t>—</t>
        </is>
      </c>
      <c r="M11" s="14" t="inlineStr">
        <is>
          <t>—</t>
        </is>
      </c>
      <c r="N11" s="14" t="inlineStr">
        <is>
          <t>—</t>
        </is>
      </c>
      <c r="O11" s="14" t="inlineStr">
        <is>
          <t>—</t>
        </is>
      </c>
      <c r="P11" s="17" t="n">
        <v>318000</v>
      </c>
      <c r="Q11" s="14" t="inlineStr">
        <is>
          <t>—</t>
        </is>
      </c>
      <c r="R11" s="14" t="inlineStr">
        <is>
          <t>—</t>
        </is>
      </c>
      <c r="S11" s="19" t="inlineStr">
        <is>
          <t>Q_p=318 kJ/mol stated in Hollenberg p.200. Phi_0 unavailable without Roberts 1979 original paper. Approximate flux values only from Fig 2.</t>
        </is>
      </c>
    </row>
    <row r="12" ht="28" customHeight="1">
      <c r="A12" s="264" t="inlineStr">
        <is>
          <t>alpha-Cr2O3 H diffusion — DFT bulk</t>
        </is>
      </c>
      <c r="B12" s="264" t="inlineStr">
        <is>
          <t>Cr2O3</t>
        </is>
      </c>
      <c r="C12" s="264" t="inlineStr">
        <is>
          <t>Bulk crystal (DFT, no substrate)</t>
        </is>
      </c>
      <c r="D12" s="264" t="inlineStr">
        <is>
          <t>Chen et al. 2011</t>
        </is>
      </c>
      <c r="E12" s="264" t="inlineStr">
        <is>
          <t>DFT</t>
        </is>
      </c>
      <c r="F12" s="177" t="n">
        <v>800</v>
      </c>
      <c r="G12" s="23" t="n">
        <v>273</v>
      </c>
      <c r="H12" s="23" t="n">
        <v>1273</v>
      </c>
      <c r="I12" s="178" t="n">
        <v>4.481110071027245e-14</v>
      </c>
      <c r="J12" s="12" t="n">
        <v>70434</v>
      </c>
      <c r="K12" s="13" t="n">
        <v>1.78e-09</v>
      </c>
      <c r="L12" s="14" t="inlineStr">
        <is>
          <t>—</t>
        </is>
      </c>
      <c r="M12" s="14" t="inlineStr">
        <is>
          <t>—</t>
        </is>
      </c>
      <c r="N12" s="14" t="inlineStr">
        <is>
          <t>—</t>
        </is>
      </c>
      <c r="O12" s="14" t="inlineStr">
        <is>
          <t>—</t>
        </is>
      </c>
      <c r="P12" s="14" t="inlineStr">
        <is>
          <t>—</t>
        </is>
      </c>
      <c r="Q12" s="14" t="inlineStr">
        <is>
          <t>—</t>
        </is>
      </c>
      <c r="R12" s="14" t="inlineStr">
        <is>
          <t>—</t>
        </is>
      </c>
      <c r="S12" s="132" t="inlineStr">
        <is>
          <t>DFT GGA/PW91 (CASTEP) perfect bulk crystal. E_D = 70,434 J/mol (0.73 eV, rate-limiting hop A→B). D_0 = 1.78×10⁻⁹ m²/s from MD at 1400 K (ν = 3.74×10¹⁰ s⁻¹, l = 3.63 Å). D_ox_ref = 4.481×10⁻¹⁴ m²/s evaluated at T_ref = 800 K from Arrhenius. T range 273–1273 K from Table 3 of paper. No K_s or Phi data — diffusivity study only. Real coatings will have higher effective E_D due to grain boundaries and defects. Note: paper formula states E_D = 70,313.62 J/mol; database uses 70,434 J/mol (0.73 eV × 96485 J/mol/eV) — difference of 120 J/mol (0.17% rounding). Full raw data in Chen2011_RawData sheet.</t>
        </is>
      </c>
    </row>
    <row r="13" ht="28" customHeight="1">
      <c r="A13" s="262" t="inlineStr">
        <is>
          <t>Cr2O3 Cr/O ion self-diffusion — DFT</t>
        </is>
      </c>
      <c r="B13" s="262" t="inlineStr">
        <is>
          <t>Cr2O3</t>
        </is>
      </c>
      <c r="C13" s="262" t="inlineStr">
        <is>
          <t>Bulk crystal (DFT, no substrate)</t>
        </is>
      </c>
      <c r="D13" s="262" t="inlineStr">
        <is>
          <t>Medasani et al. 2019</t>
        </is>
      </c>
      <c r="E13" s="262" t="inlineStr">
        <is>
          <t>DFT</t>
        </is>
      </c>
      <c r="F13" s="14" t="inlineStr">
        <is>
          <t>—</t>
        </is>
      </c>
      <c r="G13" s="24" t="n">
        <v>300</v>
      </c>
      <c r="H13" s="24" t="n">
        <v>1600</v>
      </c>
      <c r="I13" s="14" t="inlineStr">
        <is>
          <t>—</t>
        </is>
      </c>
      <c r="J13" s="14" t="inlineStr">
        <is>
          <t>—</t>
        </is>
      </c>
      <c r="K13" s="14" t="inlineStr">
        <is>
          <t>—</t>
        </is>
      </c>
      <c r="L13" s="14" t="inlineStr">
        <is>
          <t>—</t>
        </is>
      </c>
      <c r="M13" s="14" t="inlineStr">
        <is>
          <t>—</t>
        </is>
      </c>
      <c r="N13" s="14" t="inlineStr">
        <is>
          <t>—</t>
        </is>
      </c>
      <c r="O13" s="14" t="inlineStr">
        <is>
          <t>—</t>
        </is>
      </c>
      <c r="P13" s="14" t="inlineStr">
        <is>
          <t>—</t>
        </is>
      </c>
      <c r="Q13" s="14" t="inlineStr">
        <is>
          <t>—</t>
        </is>
      </c>
      <c r="R13" s="14" t="inlineStr">
        <is>
          <t>—</t>
        </is>
      </c>
      <c r="S13" s="19" t="inlineStr">
        <is>
          <t>WARNING: Cr and O ION diffusion ONLY. DO NOT use as H diffusion coefficient. D_Cr~1e-26, D_O~1e-34 m²/s at 1000 K, 1 atm O2. Use for passive film growth rate and oxide microstructure context only.</t>
        </is>
      </c>
    </row>
    <row r="14" ht="48" customHeight="1">
      <c r="A14" s="221" t="inlineStr">
        <is>
          <t>Cr₂O₃ on Cr — Stover1986 — Q_p=100kJ/mol</t>
        </is>
      </c>
      <c r="B14" s="222" t="inlineStr">
        <is>
          <t>Cr₂O₃</t>
        </is>
      </c>
      <c r="C14" s="222" t="inlineStr">
        <is>
          <t>Pure Cr (99.99%, electrolytic)</t>
        </is>
      </c>
      <c r="D14" s="223" t="inlineStr">
        <is>
          <t>Stover et al. 1986 + Nemanic 2019 (Phi via Eq.4, assumed df)</t>
        </is>
      </c>
      <c r="E14" s="222" t="inlineStr">
        <is>
          <t>3</t>
        </is>
      </c>
      <c r="F14" s="224" t="n">
        <v>673</v>
      </c>
      <c r="G14" s="224" t="n">
        <v>973</v>
      </c>
      <c r="H14" s="224" t="n">
        <v>1223</v>
      </c>
      <c r="I14" s="225" t="inlineStr">
        <is>
          <t>—</t>
        </is>
      </c>
      <c r="J14" s="224" t="n">
        <v>70434</v>
      </c>
      <c r="K14" s="225" t="inlineStr">
        <is>
          <t>—</t>
        </is>
      </c>
      <c r="L14" s="225" t="inlineStr">
        <is>
          <t>—</t>
        </is>
      </c>
      <c r="M14" s="224" t="n">
        <v>29566</v>
      </c>
      <c r="N14" s="225" t="inlineStr">
        <is>
          <t>—</t>
        </is>
      </c>
      <c r="O14" s="226" t="n">
        <v>7.2e-19</v>
      </c>
      <c r="P14" s="224" t="n">
        <v>100000</v>
      </c>
      <c r="Q14" s="226" t="n">
        <v>1e-05</v>
      </c>
      <c r="R14" s="224" t="n">
        <v>1000</v>
      </c>
      <c r="S14" s="223" t="inlineStr">
        <is>
          <t>Q_p = 100 kJ/mol from Arrhenius slope of D₂ permeation through Cr₂O₃ — Stover et al. 1986 Fig.7 (Cr1₁/Cr1₂ — most damaged (highest permeation rate)). H_sol_ox = Q_p − E_D_ox = 100,000 − 70,434 = 29,566 J/mol. Phi_ox_ref = 7.2×10⁻¹⁹ from Nemanic 2019 Table 2 (Eq.4 with assumed df=10µm). LIMITATION: All 5 Stover rows share the same Phi_ox_ref — in reality samples with higher Q_p had lower absolute permeation rates (see Stover 1986 Fig.7). Oxide thickness NOT stated in Stover 1986 — df=10µm assumed by Nemanic 2019. Gas was D₂ in Stover 1986 — Q_p is isotope-independent. E_D_ox = 70,434 J/mol (Chen 2011 DFT). Full raw data in Stover1986_RawData sheet.</t>
        </is>
      </c>
    </row>
    <row r="15" ht="48" customHeight="1">
      <c r="A15" s="221" t="inlineStr">
        <is>
          <t>Cr₂O₃ on Cr — Stover1986 — Q_p=125kJ/mol</t>
        </is>
      </c>
      <c r="B15" s="222" t="inlineStr">
        <is>
          <t>Cr₂O₃</t>
        </is>
      </c>
      <c r="C15" s="222" t="inlineStr">
        <is>
          <t>Pure Cr (99.99%, electrolytic)</t>
        </is>
      </c>
      <c r="D15" s="223" t="inlineStr">
        <is>
          <t>Stover et al. 1986 + Nemanic 2019 (Phi via Eq.4, assumed df)</t>
        </is>
      </c>
      <c r="E15" s="222" t="inlineStr">
        <is>
          <t>3</t>
        </is>
      </c>
      <c r="F15" s="224" t="n">
        <v>673</v>
      </c>
      <c r="G15" s="224" t="n">
        <v>973</v>
      </c>
      <c r="H15" s="224" t="n">
        <v>1223</v>
      </c>
      <c r="I15" s="225" t="inlineStr">
        <is>
          <t>—</t>
        </is>
      </c>
      <c r="J15" s="224" t="n">
        <v>70434</v>
      </c>
      <c r="K15" s="225" t="inlineStr">
        <is>
          <t>—</t>
        </is>
      </c>
      <c r="L15" s="225" t="inlineStr">
        <is>
          <t>—</t>
        </is>
      </c>
      <c r="M15" s="224" t="n">
        <v>54566</v>
      </c>
      <c r="N15" s="225" t="inlineStr">
        <is>
          <t>—</t>
        </is>
      </c>
      <c r="O15" s="226" t="n">
        <v>7.2e-19</v>
      </c>
      <c r="P15" s="224" t="n">
        <v>125000</v>
      </c>
      <c r="Q15" s="226" t="n">
        <v>1e-05</v>
      </c>
      <c r="R15" s="224" t="n">
        <v>1000</v>
      </c>
      <c r="S15" s="223" t="inlineStr">
        <is>
          <t>Q_p = 125 kJ/mol from Arrhenius slope of D₂ permeation through Cr₂O₃ — Stover et al. 1986 Fig.7 (Cr4₃ — intermediate). H_sol_ox = Q_p − E_D_ox = 125,000 − 70,434 = 54,566 J/mol. Phi_ox_ref = 7.2×10⁻¹⁹ from Nemanic 2019 Table 2 (Eq.4 with assumed df=10µm). LIMITATION: All 5 Stover rows share the same Phi_ox_ref — in reality samples with higher Q_p had lower absolute permeation rates (see Stover 1986 Fig.7). Oxide thickness NOT stated in Stover 1986 — df=10µm assumed by Nemanic 2019. Gas was D₂ in Stover 1986 — Q_p is isotope-independent. E_D_ox = 70,434 J/mol (Chen 2011 DFT). Full raw data in Stover1986_RawData sheet.</t>
        </is>
      </c>
    </row>
    <row r="16" ht="48" customHeight="1">
      <c r="A16" s="221" t="inlineStr">
        <is>
          <t>Cr₂O₃ on Cr — Stover1986 — Q_p=135kJ/mol</t>
        </is>
      </c>
      <c r="B16" s="222" t="inlineStr">
        <is>
          <t>Cr₂O₃</t>
        </is>
      </c>
      <c r="C16" s="222" t="inlineStr">
        <is>
          <t>Pure Cr (99.99%, electrolytic)</t>
        </is>
      </c>
      <c r="D16" s="223" t="inlineStr">
        <is>
          <t>Stover et al. 1986 + Nemanic 2019 (Phi via Eq.4, assumed df)</t>
        </is>
      </c>
      <c r="E16" s="222" t="inlineStr">
        <is>
          <t>3</t>
        </is>
      </c>
      <c r="F16" s="224" t="n">
        <v>673</v>
      </c>
      <c r="G16" s="224" t="n">
        <v>973</v>
      </c>
      <c r="H16" s="224" t="n">
        <v>1223</v>
      </c>
      <c r="I16" s="225" t="inlineStr">
        <is>
          <t>—</t>
        </is>
      </c>
      <c r="J16" s="224" t="n">
        <v>70434</v>
      </c>
      <c r="K16" s="225" t="inlineStr">
        <is>
          <t>—</t>
        </is>
      </c>
      <c r="L16" s="225" t="inlineStr">
        <is>
          <t>—</t>
        </is>
      </c>
      <c r="M16" s="224" t="n">
        <v>64566</v>
      </c>
      <c r="N16" s="225" t="inlineStr">
        <is>
          <t>—</t>
        </is>
      </c>
      <c r="O16" s="226" t="n">
        <v>7.2e-19</v>
      </c>
      <c r="P16" s="224" t="n">
        <v>135000</v>
      </c>
      <c r="Q16" s="226" t="n">
        <v>1e-05</v>
      </c>
      <c r="R16" s="224" t="n">
        <v>1000</v>
      </c>
      <c r="S16" s="223" t="inlineStr">
        <is>
          <t>Q_p = 135 kJ/mol from Arrhenius slope of D₂ permeation through Cr₂O₃ — Stover et al. 1986 Fig.7 (Cr4₂ — intermediate). H_sol_ox = Q_p − E_D_ox = 135,000 − 70,434 = 64,566 J/mol. Phi_ox_ref = 7.2×10⁻¹⁹ from Nemanic 2019 Table 2 (Eq.4 with assumed df=10µm). LIMITATION: All 5 Stover rows share the same Phi_ox_ref — in reality samples with higher Q_p had lower absolute permeation rates (see Stover 1986 Fig.7). Oxide thickness NOT stated in Stover 1986 — df=10µm assumed by Nemanic 2019. Gas was D₂ in Stover 1986 — Q_p is isotope-independent. E_D_ox = 70,434 J/mol (Chen 2011 DFT). Full raw data in Stover1986_RawData sheet.</t>
        </is>
      </c>
    </row>
    <row r="17" ht="48" customHeight="1">
      <c r="A17" s="221" t="inlineStr">
        <is>
          <t>Cr₂O₃ on Cr — Stover1986 — Q_p=143kJ/mol</t>
        </is>
      </c>
      <c r="B17" s="222" t="inlineStr">
        <is>
          <t>Cr₂O₃</t>
        </is>
      </c>
      <c r="C17" s="222" t="inlineStr">
        <is>
          <t>Pure Cr (99.99%, electrolytic)</t>
        </is>
      </c>
      <c r="D17" s="223" t="inlineStr">
        <is>
          <t>Stover et al. 1986 + Nemanic 2019 (Phi via Eq.4, assumed df)</t>
        </is>
      </c>
      <c r="E17" s="222" t="inlineStr">
        <is>
          <t>3</t>
        </is>
      </c>
      <c r="F17" s="224" t="n">
        <v>673</v>
      </c>
      <c r="G17" s="224" t="n">
        <v>973</v>
      </c>
      <c r="H17" s="224" t="n">
        <v>1223</v>
      </c>
      <c r="I17" s="225" t="inlineStr">
        <is>
          <t>—</t>
        </is>
      </c>
      <c r="J17" s="224" t="n">
        <v>70434</v>
      </c>
      <c r="K17" s="225" t="inlineStr">
        <is>
          <t>—</t>
        </is>
      </c>
      <c r="L17" s="225" t="inlineStr">
        <is>
          <t>—</t>
        </is>
      </c>
      <c r="M17" s="224" t="n">
        <v>72566</v>
      </c>
      <c r="N17" s="225" t="inlineStr">
        <is>
          <t>—</t>
        </is>
      </c>
      <c r="O17" s="226" t="n">
        <v>7.2e-19</v>
      </c>
      <c r="P17" s="224" t="n">
        <v>143000</v>
      </c>
      <c r="Q17" s="226" t="n">
        <v>1e-05</v>
      </c>
      <c r="R17" s="224" t="n">
        <v>1000</v>
      </c>
      <c r="S17" s="223" t="inlineStr">
        <is>
          <t>Q_p = 143 kJ/mol from Arrhenius slope of D₂ permeation through Cr₂O₃ — Stover et al. 1986 Fig.7 (Cr4₁ — intermediate-low). H_sol_ox = Q_p − E_D_ox = 143,000 − 70,434 = 72,566 J/mol. Phi_ox_ref = 7.2×10⁻¹⁹ from Nemanic 2019 Table 2 (Eq.4 with assumed df=10µm). LIMITATION: All 5 Stover rows share the same Phi_ox_ref — in reality samples with higher Q_p had lower absolute permeation rates (see Stover 1986 Fig.7). Oxide thickness NOT stated in Stover 1986 — df=10µm assumed by Nemanic 2019. Gas was D₂ in Stover 1986 — Q_p is isotope-independent. E_D_ox = 70,434 J/mol (Chen 2011 DFT). Full raw data in Stover1986_RawData sheet.</t>
        </is>
      </c>
    </row>
    <row r="18" ht="48" customHeight="1">
      <c r="A18" s="221" t="inlineStr">
        <is>
          <t>Cr₂O₃ on Cr — Stover1986 — Q_p=234kJ/mol</t>
        </is>
      </c>
      <c r="B18" s="222" t="inlineStr">
        <is>
          <t>Cr₂O₃</t>
        </is>
      </c>
      <c r="C18" s="222" t="inlineStr">
        <is>
          <t>Pure Cr (99.99%, electrolytic)</t>
        </is>
      </c>
      <c r="D18" s="223" t="inlineStr">
        <is>
          <t>Stover et al. 1986 + Nemanic 2019 (Phi via Eq.4, assumed df)</t>
        </is>
      </c>
      <c r="E18" s="222" t="inlineStr">
        <is>
          <t>3</t>
        </is>
      </c>
      <c r="F18" s="224" t="n">
        <v>673</v>
      </c>
      <c r="G18" s="224" t="n">
        <v>973</v>
      </c>
      <c r="H18" s="224" t="n">
        <v>1223</v>
      </c>
      <c r="I18" s="225" t="inlineStr">
        <is>
          <t>—</t>
        </is>
      </c>
      <c r="J18" s="224" t="n">
        <v>70434</v>
      </c>
      <c r="K18" s="225" t="inlineStr">
        <is>
          <t>—</t>
        </is>
      </c>
      <c r="L18" s="225" t="inlineStr">
        <is>
          <t>—</t>
        </is>
      </c>
      <c r="M18" s="224" t="n">
        <v>163566</v>
      </c>
      <c r="N18" s="225" t="inlineStr">
        <is>
          <t>—</t>
        </is>
      </c>
      <c r="O18" s="226" t="n">
        <v>7.2e-19</v>
      </c>
      <c r="P18" s="224" t="n">
        <v>234000</v>
      </c>
      <c r="Q18" s="226" t="n">
        <v>1e-05</v>
      </c>
      <c r="R18" s="224" t="n">
        <v>1000</v>
      </c>
      <c r="S18" s="223" t="inlineStr">
        <is>
          <t>Q_p = 234 kJ/mol from Arrhenius slope of D₂ permeation through Cr₂O₃ — Stover et al. 1986 Fig.7 (Cr2 — almost undamaged (lowest permeation rate)). H_sol_ox = Q_p − E_D_ox = 234,000 − 70,434 = 163,566 J/mol. Phi_ox_ref = 7.2×10⁻¹⁹ from Nemanic 2019 Table 2 (Eq.4 with assumed df=10µm). LIMITATION: All 5 Stover rows share the same Phi_ox_ref — in reality samples with higher Q_p had lower absolute permeation rates (see Stover 1986 Fig.7). Oxide thickness NOT stated in Stover 1986 — df=10µm assumed by Nemanic 2019. Gas was D₂ in Stover 1986 — Q_p is isotope-independent. E_D_ox = 70,434 J/mol (Chen 2011 DFT). Full raw data in Stover1986_RawData sheet.</t>
        </is>
      </c>
    </row>
    <row r="19" ht="48" customHeight="1">
      <c r="A19" s="227" t="inlineStr">
        <is>
          <t>Al₂O₃ deposited on Eurofer — Levchuk 2004</t>
        </is>
      </c>
      <c r="B19" s="228" t="inlineStr">
        <is>
          <t>Al₂O₃</t>
        </is>
      </c>
      <c r="C19" s="228" t="inlineStr">
        <is>
          <t>Eurofer (ferritic martensitic steel)</t>
        </is>
      </c>
      <c r="D19" s="229" t="inlineStr">
        <is>
          <t>Levchuk et al. 2004 + Nemanic 2019 (Ps) + Forcey 1988 (Q_p analog)</t>
        </is>
      </c>
      <c r="E19" s="228" t="inlineStr">
        <is>
          <t>3</t>
        </is>
      </c>
      <c r="F19" s="230" t="n">
        <v>1073</v>
      </c>
      <c r="G19" s="230" t="n">
        <v>973</v>
      </c>
      <c r="H19" s="230" t="n">
        <v>1073</v>
      </c>
      <c r="I19" s="121" t="inlineStr">
        <is>
          <t>—</t>
        </is>
      </c>
      <c r="J19" s="121" t="inlineStr">
        <is>
          <t>—</t>
        </is>
      </c>
      <c r="K19" s="121" t="inlineStr">
        <is>
          <t>—</t>
        </is>
      </c>
      <c r="L19" s="121" t="inlineStr">
        <is>
          <t>—</t>
        </is>
      </c>
      <c r="M19" s="121" t="inlineStr">
        <is>
          <t>—</t>
        </is>
      </c>
      <c r="N19" s="121" t="inlineStr">
        <is>
          <t>—</t>
        </is>
      </c>
      <c r="O19" s="231" t="n">
        <v>6.494943644554444e-16</v>
      </c>
      <c r="P19" s="230" t="n">
        <v>50000</v>
      </c>
      <c r="Q19" s="231" t="n">
        <v>1e-06</v>
      </c>
      <c r="R19" s="230" t="n">
        <v>1000</v>
      </c>
      <c r="S19" s="229" t="inlineStr">
        <is>
          <t>Al₂O₃ deposited film (1 µm, filtered arc discharge, 973 K substrate, −200 V bias). DIFFERENT from Roberts 1979 sintered bulk. Substrate: Eurofer martensitic steel. Phi_ox_ref at 1073 K = 6.4949e-16 mol/m/s/Pa⁰·⁵ (H₂ equivalent, ×√2 from D₂ measurement). Back-calculated via Eq.4 (Nemanic 2019): Pf = df·Ps/(ds·PRF). Ps_Eurofer(1073K) = 2.296e-10 extrapolated from Nemanic 2019 Table 2 Ps(673K) = 1.30×10⁻¹¹ using martensitic steel analog Q_p = 43,100 J/mol (Forcey 1988). ds = 0.5 mm (Nemanic 2019 Table 2); actual polished thickness = 0.27 mm (Levchuk 2004). Q_p ≈ 50,000 J/mol — rough estimate from 3 temperature points (973, 1023, 1073 K). E_D_ox and H_sol_ox not available — deposited film E_D may differ from sintered bulk. PRF ≥ 10³ at 973–1073 K. Surface effects play noticeable role. Gas: D₂. Phi_0 and Phi_ox_ref isotope-corrected ×√2 for H₂ equivalent. Full raw data in Levchuk2004_RawData sheet.</t>
        </is>
      </c>
    </row>
    <row r="20" ht="48" customHeight="1">
      <c r="A20" s="192" t="inlineStr">
        <is>
          <t>Cr₂O₃ — Sample 3 (28nm, PRF=3900) — Q_p Stover1986 (undamaged)</t>
        </is>
      </c>
      <c r="B20" s="232" t="inlineStr">
        <is>
          <t>Cr₂O₃</t>
        </is>
      </c>
      <c r="C20" s="232" t="inlineStr">
        <is>
          <t>Pure Cr (99.95%, Nemanic 2023)</t>
        </is>
      </c>
      <c r="D20" s="52" t="inlineStr">
        <is>
          <t>Nemanic et al. 2023 (Phi,D) + Stover 1986 (Q_p) + Chen 2011 (E_D)</t>
        </is>
      </c>
      <c r="E20" s="232" t="inlineStr">
        <is>
          <t>1*</t>
        </is>
      </c>
      <c r="F20" s="233" t="n">
        <v>673</v>
      </c>
      <c r="G20" s="233" t="n">
        <v>473</v>
      </c>
      <c r="H20" s="233" t="n">
        <v>773</v>
      </c>
      <c r="I20" s="234" t="n">
        <v>7.8e-19</v>
      </c>
      <c r="J20" s="233" t="n">
        <v>70434</v>
      </c>
      <c r="K20" s="234" t="n">
        <v>2.285600211303018e-13</v>
      </c>
      <c r="L20" s="233" t="n">
        <v>0.089744</v>
      </c>
      <c r="M20" s="233" t="n">
        <v>163566</v>
      </c>
      <c r="N20" s="234" t="n">
        <v>445222444320.3138</v>
      </c>
      <c r="O20" s="234" t="n">
        <v>7e-20</v>
      </c>
      <c r="P20" s="233" t="n">
        <v>234000</v>
      </c>
      <c r="Q20" s="234" t="n">
        <v>2.8e-08</v>
      </c>
      <c r="R20" s="235" t="inlineStr">
        <is>
          <t>—</t>
        </is>
      </c>
      <c r="S20" s="52" t="inlineStr">
        <is>
          <t>UPDATED ROW — original row with H_sol_ox=0 preserved separately. Q_p_ox = 234,000 J/mol = undamaged chromia limit from Stover 1986 Fig.7 (sample Cr2). H_sol_ox = Q_p − E_D_ox = 234,000 − 70,434 = 163,566 J/mol. Full Q_p range from Stover 1986: 100,000–234,000 J/mol depending on oxide damage state. H_sol_ox range: 29,566–163,566 J/mol. Phi_ox_ref, D_ox_ref, K_ox_ref at 673 K from Nemanic 2023 (direct measurements). E_D_ox = 70,434 J/mol (Chen 2011 DFT). Thickness: 28 ± 4 nm (XPS). Best barrier in study. PRF=3900. See Stover1986_RawData sheet for all Q_p values and oxide quality context.</t>
        </is>
      </c>
    </row>
    <row r="21" ht="48" customHeight="1">
      <c r="A21" s="192" t="inlineStr">
        <is>
          <t>Cr₂O₃ — Sample 4 (48nm, PRF=915) — Q_p Stover1986 (undamaged)</t>
        </is>
      </c>
      <c r="B21" s="232" t="inlineStr">
        <is>
          <t>Cr₂O₃</t>
        </is>
      </c>
      <c r="C21" s="232" t="inlineStr">
        <is>
          <t>Pure Cr (99.95%, Nemanic 2023)</t>
        </is>
      </c>
      <c r="D21" s="52" t="inlineStr">
        <is>
          <t>Nemanic et al. 2023 (Phi,D) + Stover 1986 (Q_p) + Chen 2011 (E_D)</t>
        </is>
      </c>
      <c r="E21" s="232" t="inlineStr">
        <is>
          <t>1*</t>
        </is>
      </c>
      <c r="F21" s="233" t="n">
        <v>673</v>
      </c>
      <c r="G21" s="233" t="n">
        <v>473</v>
      </c>
      <c r="H21" s="233" t="n">
        <v>773</v>
      </c>
      <c r="I21" s="234" t="n">
        <v>9.600000000000001e-19</v>
      </c>
      <c r="J21" s="233" t="n">
        <v>70434</v>
      </c>
      <c r="K21" s="234" t="n">
        <v>2.813046413911407e-13</v>
      </c>
      <c r="L21" s="233" t="n">
        <v>0.35417</v>
      </c>
      <c r="M21" s="233" t="n">
        <v>163566</v>
      </c>
      <c r="N21" s="234" t="n">
        <v>1757047079525.378</v>
      </c>
      <c r="O21" s="234" t="n">
        <v>3.4e-19</v>
      </c>
      <c r="P21" s="233" t="n">
        <v>234000</v>
      </c>
      <c r="Q21" s="234" t="n">
        <v>4.8e-08</v>
      </c>
      <c r="R21" s="235" t="inlineStr">
        <is>
          <t>—</t>
        </is>
      </c>
      <c r="S21" s="52" t="inlineStr">
        <is>
          <t>UPDATED ROW — original row with H_sol_ox=0 preserved separately. Q_p_ox = 234,000 J/mol = undamaged chromia limit from Stover 1986 Fig.7 (sample Cr2). H_sol_ox = Q_p − E_D_ox = 234,000 − 70,434 = 163,566 J/mol. Full Q_p range from Stover 1986: 100,000–234,000 J/mol depending on oxide damage state. H_sol_ox range: 29,566–163,566 J/mol. Phi_ox_ref, D_ox_ref, K_ox_ref at 673 K from Nemanic 2023 (direct measurements). E_D_ox = 70,434 J/mol (Chen 2011 DFT). Thickness: 48 ± 6 nm (XPS). Two oxidation cycles (2h + 20h). Final PRF=915. See Stover1986_RawData sheet for all Q_p values and oxide quality context.</t>
        </is>
      </c>
    </row>
  </sheetData>
  <mergeCells count="2">
    <mergeCell ref="A2:S2"/>
    <mergeCell ref="A1:S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7"/>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6" customWidth="1" min="2" max="2"/>
    <col width="14" customWidth="1" min="3" max="3"/>
    <col width="14" customWidth="1" min="4" max="4"/>
    <col width="14" customWidth="1" min="5" max="5"/>
    <col width="14" customWidth="1" min="6" max="6"/>
    <col width="14" customWidth="1" min="7" max="7"/>
    <col width="14" customWidth="1" min="8" max="8"/>
    <col width="18" customWidth="1" min="9" max="9"/>
    <col width="18" customWidth="1" min="10" max="10"/>
    <col width="14" customWidth="1" min="11" max="11"/>
    <col width="14" customWidth="1" min="12" max="12"/>
    <col width="18" customWidth="1" min="13" max="13"/>
    <col width="38" customWidth="1" min="14" max="14"/>
    <col width="22" customWidth="1" min="15" max="15"/>
    <col width="18" customWidth="1" min="16" max="16"/>
    <col width="22" customWidth="1" min="17" max="17"/>
  </cols>
  <sheetData>
    <row r="1" ht="22" customHeight="1">
      <c r="A1" s="21" t="inlineStr">
        <is>
          <t>Oxide / Surface Kinetics Data</t>
        </is>
      </c>
    </row>
    <row r="2" ht="14" customHeight="1">
      <c r="A2" s="9" t="inlineStr">
        <is>
          <t>Sources: Swansiger &amp; Bastasz 1979 | Yamawaki et al. 1989 — NOTE: Yamawaki kR units are cm^4/s (recombination coeff), NOT mol/m²/s/Pa | Grant et al. 1988 — k₁ Arrhenius (3 surface conditions, H₂, 502–863 K)</t>
        </is>
      </c>
    </row>
    <row r="3" ht="28" customHeight="1">
      <c r="A3" s="22" t="inlineStr">
        <is>
          <t>System</t>
        </is>
      </c>
      <c r="B3" s="22" t="inlineStr">
        <is>
          <t>Substrate</t>
        </is>
      </c>
      <c r="C3" s="22" t="inlineStr">
        <is>
          <t>Oxide/Surface Type</t>
        </is>
      </c>
      <c r="D3" s="22" t="inlineStr">
        <is>
          <t>Source</t>
        </is>
      </c>
      <c r="E3" s="22" t="inlineStr">
        <is>
          <t>Gas</t>
        </is>
      </c>
      <c r="F3" s="22" t="inlineStr">
        <is>
          <t>T_min (K)</t>
        </is>
      </c>
      <c r="G3" s="22" t="inlineStr">
        <is>
          <t>T_max (K)</t>
        </is>
      </c>
      <c r="H3" s="22" t="inlineStr">
        <is>
          <t>Oxide Thickness (m)</t>
        </is>
      </c>
      <c r="I3" s="22" t="inlineStr">
        <is>
          <t>Parameter Type</t>
        </is>
      </c>
      <c r="J3" s="22" t="inlineStr">
        <is>
          <t>Q_p or Ea (J/mol)</t>
        </is>
      </c>
      <c r="K3" s="22" t="inlineStr">
        <is>
          <t>kR or Phi_0 range</t>
        </is>
      </c>
      <c r="L3" s="22" t="inlineStr">
        <is>
          <t>PRF</t>
        </is>
      </c>
      <c r="M3" s="22" t="inlineStr">
        <is>
          <t>Phi_0 value (mol/m/s/Pa⁰·⁵)</t>
        </is>
      </c>
      <c r="N3" s="22" t="inlineStr">
        <is>
          <t>Notes</t>
        </is>
      </c>
      <c r="O3" s="28" t="inlineStr">
        <is>
          <t>k₁_ref (mol/m²/s/Pa) at T_ref</t>
        </is>
      </c>
      <c r="P3" s="28" t="inlineStr">
        <is>
          <t>E_k1 (J/mol)</t>
        </is>
      </c>
      <c r="Q3" s="28" t="inlineStr">
        <is>
          <t>k₁₀ (mol/m²/s/Pa)</t>
        </is>
      </c>
    </row>
    <row r="4" ht="42" customHeight="1">
      <c r="A4" s="264" t="inlineStr">
        <is>
          <t>SS 21-6-9 + Cr-rich oxide (~15nm)</t>
        </is>
      </c>
      <c r="B4" s="264" t="inlineStr">
        <is>
          <t>SS 21-6-9</t>
        </is>
      </c>
      <c r="C4" s="264" t="inlineStr">
        <is>
          <t>Cr/Fe/Ni mixed oxide (~19% Cr, 43% O, 29% Fe)</t>
        </is>
      </c>
      <c r="D4" s="264" t="inlineStr">
        <is>
          <t>Swansiger &amp; Bastasz 1979</t>
        </is>
      </c>
      <c r="E4" s="264" t="inlineStr">
        <is>
          <t>D₂</t>
        </is>
      </c>
      <c r="F4" s="12" t="n">
        <v>325</v>
      </c>
      <c r="G4" s="12" t="n">
        <v>700</v>
      </c>
      <c r="H4" s="13" t="n">
        <v>1.5e-08</v>
      </c>
      <c r="I4" s="264" t="inlineStr">
        <is>
          <t>Composite Q_p_eff (J/mol)</t>
        </is>
      </c>
      <c r="J4" s="12" t="n">
        <v>87000</v>
      </c>
      <c r="K4" s="14" t="inlineStr">
        <is>
          <t>—</t>
        </is>
      </c>
      <c r="L4" s="264" t="inlineStr">
        <is>
          <t>100-1000</t>
        </is>
      </c>
      <c r="M4" s="14" t="inlineStr">
        <is>
          <t>—</t>
        </is>
      </c>
      <c r="N4" s="15" t="inlineStr">
        <is>
          <t>Surface-kinetics limited confirmed. p^1 after oxidation. Pd over upstream eliminates barrier. k_diss NOT extractable. PRF from Fig 4.  ▸ k₁ columns: Surface-kinetics limitation confirmed but k₁ not fitted. Paper reports only composite Q_p_eff and PRF.</t>
        </is>
      </c>
      <c r="O4" s="281" t="inlineStr">
        <is>
          <t>NOT EXTRACTABLE</t>
        </is>
      </c>
      <c r="P4" s="281" t="inlineStr">
        <is>
          <t>NOT EXTRACTABLE</t>
        </is>
      </c>
      <c r="Q4" s="281" t="inlineStr">
        <is>
          <t>NOT EXTRACTABLE</t>
        </is>
      </c>
    </row>
    <row r="5" ht="42" customHeight="1">
      <c r="A5" s="262" t="inlineStr">
        <is>
          <t>SS A-286 + Ti-rich oxide (~4nm)</t>
        </is>
      </c>
      <c r="B5" s="262" t="inlineStr">
        <is>
          <t>SS A-286</t>
        </is>
      </c>
      <c r="C5" s="262" t="inlineStr">
        <is>
          <t>Cr/Fe/Ti mixed oxide (Ti-enriched)</t>
        </is>
      </c>
      <c r="D5" s="262" t="inlineStr">
        <is>
          <t>Swansiger &amp; Bastasz 1979</t>
        </is>
      </c>
      <c r="E5" s="262" t="inlineStr">
        <is>
          <t>D₂</t>
        </is>
      </c>
      <c r="F5" s="17" t="n">
        <v>325</v>
      </c>
      <c r="G5" s="17" t="n">
        <v>700</v>
      </c>
      <c r="H5" s="18" t="n">
        <v>4e-09</v>
      </c>
      <c r="I5" s="262" t="inlineStr">
        <is>
          <t>PRF only</t>
        </is>
      </c>
      <c r="J5" s="14" t="inlineStr">
        <is>
          <t>—</t>
        </is>
      </c>
      <c r="K5" s="14" t="inlineStr">
        <is>
          <t>—</t>
        </is>
      </c>
      <c r="L5" s="262" t="inlineStr">
        <is>
          <t>100-1000</t>
        </is>
      </c>
      <c r="M5" s="14" t="inlineStr">
        <is>
          <t>—</t>
        </is>
      </c>
      <c r="N5" s="19" t="inlineStr">
        <is>
          <t>Same PRF as 21-6-9 despite 3.75x thinner oxide — thickness does NOT control. Surface kinetics controls. AES: Ti enrichment from prior heat treatment.  ▸ k₁ columns: Same as row above — only PRF reported, no k₁ fitted.</t>
        </is>
      </c>
      <c r="O5" s="281" t="inlineStr">
        <is>
          <t>NOT EXTRACTABLE</t>
        </is>
      </c>
      <c r="P5" s="281" t="inlineStr">
        <is>
          <t>NOT EXTRACTABLE</t>
        </is>
      </c>
      <c r="Q5" s="281" t="inlineStr">
        <is>
          <t>NOT EXTRACTABLE</t>
        </is>
      </c>
    </row>
    <row r="6" ht="28" customHeight="1">
      <c r="A6" s="264" t="inlineStr">
        <is>
          <t>SS 309S — bare Pd-coated reference</t>
        </is>
      </c>
      <c r="B6" s="264" t="inlineStr">
        <is>
          <t>SS 309S</t>
        </is>
      </c>
      <c r="C6" s="264" t="inlineStr">
        <is>
          <t>None (bare)</t>
        </is>
      </c>
      <c r="D6" s="264" t="inlineStr">
        <is>
          <t>Swansiger &amp; Bastasz 1979</t>
        </is>
      </c>
      <c r="E6" s="264" t="inlineStr">
        <is>
          <t>D₂</t>
        </is>
      </c>
      <c r="F6" s="12" t="n">
        <v>325</v>
      </c>
      <c r="G6" s="12" t="n">
        <v>700</v>
      </c>
      <c r="H6" s="14" t="inlineStr">
        <is>
          <t>—</t>
        </is>
      </c>
      <c r="I6" s="264" t="inlineStr">
        <is>
          <t>Q_p bare (J/mol)</t>
        </is>
      </c>
      <c r="J6" s="12" t="n">
        <v>62300</v>
      </c>
      <c r="K6" s="13" t="n">
        <v>1.2e-07</v>
      </c>
      <c r="L6" s="264" t="inlineStr">
        <is>
          <t>N/A</t>
        </is>
      </c>
      <c r="M6" s="264" t="inlineStr">
        <is>
          <t>mol/m/s/Pa⁰·⁵</t>
        </is>
      </c>
      <c r="N6" s="15" t="inlineStr">
        <is>
          <t>Phi_0=1.2e-7. Units mol/m/s/Pa⁰·⁵ (converted from paper mol D₂/m/s/MPa⁰·⁵).</t>
        </is>
      </c>
      <c r="O6" s="282" t="inlineStr">
        <is>
          <t>N/A — bulk only</t>
        </is>
      </c>
      <c r="P6" s="282" t="inlineStr">
        <is>
          <t>N/A — bulk only</t>
        </is>
      </c>
      <c r="Q6" s="282" t="inlineStr">
        <is>
          <t>N/A — bulk only</t>
        </is>
      </c>
    </row>
    <row r="7" ht="28" customHeight="1">
      <c r="A7" s="262" t="inlineStr">
        <is>
          <t>SS 21-6-9 — bare Pd-coated reference</t>
        </is>
      </c>
      <c r="B7" s="262" t="inlineStr">
        <is>
          <t>SS 21-6-9</t>
        </is>
      </c>
      <c r="C7" s="262" t="inlineStr">
        <is>
          <t>None (bare)</t>
        </is>
      </c>
      <c r="D7" s="262" t="inlineStr">
        <is>
          <t>Swansiger &amp; Bastasz 1979</t>
        </is>
      </c>
      <c r="E7" s="262" t="inlineStr">
        <is>
          <t>D₂</t>
        </is>
      </c>
      <c r="F7" s="17" t="n">
        <v>325</v>
      </c>
      <c r="G7" s="17" t="n">
        <v>700</v>
      </c>
      <c r="H7" s="14" t="inlineStr">
        <is>
          <t>—</t>
        </is>
      </c>
      <c r="I7" s="262" t="inlineStr">
        <is>
          <t>Q_p bare (J/mol)</t>
        </is>
      </c>
      <c r="J7" s="17" t="n">
        <v>66000</v>
      </c>
      <c r="K7" s="18" t="n">
        <v>3.6e-07</v>
      </c>
      <c r="L7" s="262" t="inlineStr">
        <is>
          <t>N/A</t>
        </is>
      </c>
      <c r="M7" s="262" t="inlineStr">
        <is>
          <t>mol/m/s/Pa⁰·⁵</t>
        </is>
      </c>
      <c r="N7" s="19" t="inlineStr">
        <is>
          <t>Phi_0=3.6e-7.</t>
        </is>
      </c>
      <c r="O7" s="282" t="inlineStr">
        <is>
          <t>N/A — bulk only</t>
        </is>
      </c>
      <c r="P7" s="282" t="inlineStr">
        <is>
          <t>N/A — bulk only</t>
        </is>
      </c>
      <c r="Q7" s="282" t="inlineStr">
        <is>
          <t>N/A — bulk only</t>
        </is>
      </c>
    </row>
    <row r="8" ht="28" customHeight="1">
      <c r="A8" s="264" t="inlineStr">
        <is>
          <t>SS A-286 — bare Pd-coated reference</t>
        </is>
      </c>
      <c r="B8" s="264" t="inlineStr">
        <is>
          <t>SS A-286</t>
        </is>
      </c>
      <c r="C8" s="264" t="inlineStr">
        <is>
          <t>None (bare)</t>
        </is>
      </c>
      <c r="D8" s="264" t="inlineStr">
        <is>
          <t>Swansiger &amp; Bastasz 1979</t>
        </is>
      </c>
      <c r="E8" s="264" t="inlineStr">
        <is>
          <t>D₂</t>
        </is>
      </c>
      <c r="F8" s="12" t="n">
        <v>325</v>
      </c>
      <c r="G8" s="12" t="n">
        <v>700</v>
      </c>
      <c r="H8" s="14" t="inlineStr">
        <is>
          <t>—</t>
        </is>
      </c>
      <c r="I8" s="264" t="inlineStr">
        <is>
          <t>Q_p bare (J/mol)</t>
        </is>
      </c>
      <c r="J8" s="12" t="n">
        <v>62100</v>
      </c>
      <c r="K8" s="13" t="n">
        <v>1.14e-06</v>
      </c>
      <c r="L8" s="264" t="inlineStr">
        <is>
          <t>N/A</t>
        </is>
      </c>
      <c r="M8" s="264" t="inlineStr">
        <is>
          <t>mol/m/s/Pa⁰·⁵</t>
        </is>
      </c>
      <c r="N8" s="15" t="inlineStr">
        <is>
          <t>Phi_0=1.14e-6.</t>
        </is>
      </c>
      <c r="O8" s="282" t="inlineStr">
        <is>
          <t>N/A — bulk only</t>
        </is>
      </c>
      <c r="P8" s="282" t="inlineStr">
        <is>
          <t>N/A — bulk only</t>
        </is>
      </c>
      <c r="Q8" s="282" t="inlineStr">
        <is>
          <t>N/A — bulk only</t>
        </is>
      </c>
    </row>
    <row r="9" ht="42" customHeight="1">
      <c r="A9" s="262" t="inlineStr">
        <is>
          <t>SS304 + O-impurity (0-35 at% O)</t>
        </is>
      </c>
      <c r="B9" s="262" t="inlineStr">
        <is>
          <t>Type 304 SS</t>
        </is>
      </c>
      <c r="C9" s="262" t="inlineStr">
        <is>
          <t>O-contaminated surface</t>
        </is>
      </c>
      <c r="D9" s="262" t="inlineStr">
        <is>
          <t>Yamawaki et al. 1989</t>
        </is>
      </c>
      <c r="E9" s="262" t="inlineStr">
        <is>
          <t>D₂</t>
        </is>
      </c>
      <c r="F9" s="17" t="n">
        <v>773</v>
      </c>
      <c r="G9" s="17" t="n">
        <v>773</v>
      </c>
      <c r="H9" s="14" t="inlineStr">
        <is>
          <t>—</t>
        </is>
      </c>
      <c r="I9" s="262" t="inlineStr">
        <is>
          <t>kR recombination coeff (cm^4/s)</t>
        </is>
      </c>
      <c r="J9" s="14" t="inlineStr">
        <is>
          <t>—</t>
        </is>
      </c>
      <c r="K9" s="262" t="inlineStr">
        <is>
          <t>1e-20 to 1e-16</t>
        </is>
      </c>
      <c r="L9" s="262" t="inlineStr">
        <is>
          <t>N/A</t>
        </is>
      </c>
      <c r="M9" s="14" t="inlineStr">
        <is>
          <t>—</t>
        </is>
      </c>
      <c r="N9" s="19" t="inlineStr">
        <is>
          <t>UNITS: cm^4/s (NOT mol/m²/s/Pa). kR is recombination coefficient, not k_diss. kR decreases 4 orders as O increases 0 to 35 at%. O suppresses H₂ dissociation. Functional form: kR(T,Co)=k0(T)*exp(-b*Co).  ▸ k₁ columns: Yamawaki k_R in cm⁴/s (recombination coeff Φ=k_R·C²). Conversion to k₁ [mol/m²/s/Pa] requires K_sm — introduces ~5 order uncertainty. See Yamawaki1989_RawData sheet for conversion attempt.</t>
        </is>
      </c>
      <c r="O9" s="281" t="inlineStr">
        <is>
          <t>INCOMPATIBLE UNITS</t>
        </is>
      </c>
      <c r="P9" s="281" t="inlineStr">
        <is>
          <t>INCOMPATIBLE UNITS</t>
        </is>
      </c>
      <c r="Q9" s="281" t="inlineStr">
        <is>
          <t>INCOMPATIBLE UNITS</t>
        </is>
      </c>
    </row>
    <row r="10" ht="42" customHeight="1">
      <c r="A10" s="264" t="inlineStr">
        <is>
          <t>Ni + S-impurity (0-40 at% S)</t>
        </is>
      </c>
      <c r="B10" s="264" t="inlineStr">
        <is>
          <t>Nickel</t>
        </is>
      </c>
      <c r="C10" s="264" t="inlineStr">
        <is>
          <t>S-contaminated surface (bulk segregation)</t>
        </is>
      </c>
      <c r="D10" s="264" t="inlineStr">
        <is>
          <t>Yamawaki et al. 1989</t>
        </is>
      </c>
      <c r="E10" s="264" t="inlineStr">
        <is>
          <t>D₂</t>
        </is>
      </c>
      <c r="F10" s="14" t="inlineStr">
        <is>
          <t>—</t>
        </is>
      </c>
      <c r="G10" s="14" t="inlineStr">
        <is>
          <t>—</t>
        </is>
      </c>
      <c r="H10" s="14" t="inlineStr">
        <is>
          <t>—</t>
        </is>
      </c>
      <c r="I10" s="264" t="inlineStr">
        <is>
          <t>kR recombination coeff (cm^4/s)</t>
        </is>
      </c>
      <c r="J10" s="14" t="inlineStr">
        <is>
          <t>—</t>
        </is>
      </c>
      <c r="K10" s="264" t="inlineStr">
        <is>
          <t>1e-19 to 1e-16</t>
        </is>
      </c>
      <c r="L10" s="264" t="inlineStr">
        <is>
          <t>N/A</t>
        </is>
      </c>
      <c r="M10" s="14" t="inlineStr">
        <is>
          <t>—</t>
        </is>
      </c>
      <c r="N10" s="15" t="inlineStr">
        <is>
          <t>UNITS: cm^4/s. 2Ec_max=0.7 eV=67540 J/mol at high S coverage. Not suitable as Hastelloy analog.  ▸ k₁ columns: Yamawaki k_R in cm⁴/s — Ni + S impurity. Not compatible with L6 model k₁ column.</t>
        </is>
      </c>
      <c r="O10" s="281" t="inlineStr">
        <is>
          <t>INCOMPATIBLE UNITS</t>
        </is>
      </c>
      <c r="P10" s="281" t="inlineStr">
        <is>
          <t>INCOMPATIBLE UNITS</t>
        </is>
      </c>
      <c r="Q10" s="281" t="inlineStr">
        <is>
          <t>INCOMPATIBLE UNITS</t>
        </is>
      </c>
    </row>
    <row r="11" ht="42" customHeight="1">
      <c r="A11" s="262" t="inlineStr">
        <is>
          <t>V + S-impurity (0-40 at% S)</t>
        </is>
      </c>
      <c r="B11" s="262" t="inlineStr">
        <is>
          <t>Vanadium</t>
        </is>
      </c>
      <c r="C11" s="262" t="inlineStr">
        <is>
          <t>S-contaminated surface (bulk segregation)</t>
        </is>
      </c>
      <c r="D11" s="262" t="inlineStr">
        <is>
          <t>Yamawaki et al. 1989</t>
        </is>
      </c>
      <c r="E11" s="262" t="inlineStr">
        <is>
          <t>D₂</t>
        </is>
      </c>
      <c r="F11" s="14" t="inlineStr">
        <is>
          <t>—</t>
        </is>
      </c>
      <c r="G11" s="14" t="inlineStr">
        <is>
          <t>—</t>
        </is>
      </c>
      <c r="H11" s="14" t="inlineStr">
        <is>
          <t>—</t>
        </is>
      </c>
      <c r="I11" s="262" t="inlineStr">
        <is>
          <t>kR recombination coeff (cm^4/s)</t>
        </is>
      </c>
      <c r="J11" s="14" t="inlineStr">
        <is>
          <t>—</t>
        </is>
      </c>
      <c r="K11" s="262" t="inlineStr">
        <is>
          <t>~1e-25</t>
        </is>
      </c>
      <c r="L11" s="262" t="inlineStr">
        <is>
          <t>N/A</t>
        </is>
      </c>
      <c r="M11" s="14" t="inlineStr">
        <is>
          <t>—</t>
        </is>
      </c>
      <c r="N11" s="19" t="inlineStr">
        <is>
          <t>UNITS: cm^4/s. Much smaller kR than SS/Ni. Not suitable as permeation system analog.  ▸ k₁ columns: Yamawaki k_R in cm⁴/s — Vanadium + S impurity. Not compatible with L6 model k₁ column.</t>
        </is>
      </c>
      <c r="O11" s="281" t="inlineStr">
        <is>
          <t>INCOMPATIBLE UNITS</t>
        </is>
      </c>
      <c r="P11" s="281" t="inlineStr">
        <is>
          <t>INCOMPATIBLE UNITS</t>
        </is>
      </c>
      <c r="Q11" s="281" t="inlineStr">
        <is>
          <t>INCOMPATIBLE UNITS</t>
        </is>
      </c>
    </row>
    <row r="12" ht="10" customHeight="1"/>
    <row r="13" ht="22" customHeight="1">
      <c r="A13" s="158" t="inlineStr">
        <is>
          <t>GRANT ET AL. 1988 — k₁ (dissociative adsorption) for 316 SS, H₂, 502–863 K  ▸  ONLY source in database with Arrhenius k₁ in compatible units for L6 model</t>
        </is>
      </c>
    </row>
    <row r="14" ht="50" customHeight="1">
      <c r="A14" s="268" t="inlineStr">
        <is>
          <t>SS 316 — clean metal surface (IBC)</t>
        </is>
      </c>
      <c r="B14" s="268" t="inlineStr">
        <is>
          <t>316 austenitic SS</t>
        </is>
      </c>
      <c r="C14" s="269" t="inlineStr">
        <is>
          <t>None — bare metal (ion beam cleaned, H⁺ 4 kV, 100 h)</t>
        </is>
      </c>
      <c r="D14" s="268" t="inlineStr">
        <is>
          <t>Grant et al. 1988</t>
        </is>
      </c>
      <c r="E14" s="268" t="inlineStr">
        <is>
          <t>H₂</t>
        </is>
      </c>
      <c r="F14" s="270" t="n">
        <v>502</v>
      </c>
      <c r="G14" s="270" t="n">
        <v>863</v>
      </c>
      <c r="H14" s="268" t="inlineStr">
        <is>
          <t>—</t>
        </is>
      </c>
      <c r="I14" s="269" t="inlineStr">
        <is>
          <t>k₁ (dissociative adsorption)  [upper bound]</t>
        </is>
      </c>
      <c r="J14" s="271" t="n">
        <v>80728.89999999999</v>
      </c>
      <c r="K14" s="268" t="inlineStr">
        <is>
          <t>3.20e-02</t>
        </is>
      </c>
      <c r="L14" s="268" t="inlineStr">
        <is>
          <t>—</t>
        </is>
      </c>
      <c r="M14" s="268" t="inlineStr">
        <is>
          <t>—</t>
        </is>
      </c>
      <c r="N14" s="269" t="inlineStr">
        <is>
          <t>Grant 1988 Eq.14. Ion beam cleaned — fastest possible surface reaction. k₁ is upper bound for any SS surface. Gas: H₂. T range 502–863 K. Specimens 0.05 and 0.10 mm. k₁,316/k₁,304 ≈ 1.8. Not an oxide analog — bare metal reference.</t>
        </is>
      </c>
      <c r="O14" s="271" t="n">
        <v>1.365219219323053e-06</v>
      </c>
      <c r="P14" s="271" t="n">
        <v>80728.89999999999</v>
      </c>
      <c r="Q14" s="270" t="n">
        <v>0.032</v>
      </c>
    </row>
    <row r="15" ht="50" customHeight="1">
      <c r="A15" s="272" t="inlineStr">
        <is>
          <t>SS 316 — partially cleaned surface (partial IBC)</t>
        </is>
      </c>
      <c r="B15" s="273" t="inlineStr">
        <is>
          <t>316 austenitic SS</t>
        </is>
      </c>
      <c r="C15" s="272" t="inlineStr">
        <is>
          <t>Partial/unstable surface state (24 h ion beam — insufficient)</t>
        </is>
      </c>
      <c r="D15" s="273" t="inlineStr">
        <is>
          <t>Grant et al. 1988</t>
        </is>
      </c>
      <c r="E15" s="273" t="inlineStr">
        <is>
          <t>H₂</t>
        </is>
      </c>
      <c r="F15" s="274" t="n">
        <v>502</v>
      </c>
      <c r="G15" s="274" t="n">
        <v>863</v>
      </c>
      <c r="H15" s="273" t="inlineStr">
        <is>
          <t>—</t>
        </is>
      </c>
      <c r="I15" s="272" t="inlineStr">
        <is>
          <t>k₁ (dissociative adsorption)  [intermediate]</t>
        </is>
      </c>
      <c r="J15" s="275" t="n">
        <v>61357.3</v>
      </c>
      <c r="K15" s="273" t="inlineStr">
        <is>
          <t>1.40e-04</t>
        </is>
      </c>
      <c r="L15" s="273" t="inlineStr">
        <is>
          <t>—</t>
        </is>
      </c>
      <c r="M15" s="273" t="inlineStr">
        <is>
          <t>—</t>
        </is>
      </c>
      <c r="N15" s="272" t="inlineStr">
        <is>
          <t>Grant 1988 Eq.15. Partial ion beam — first specimen, insufficient irradiation. Unstable surface state. k₁₀ similar to oxidized but different E_k1. Intermediate between clean and fully oxidized.</t>
        </is>
      </c>
      <c r="O15" s="275" t="n">
        <v>6.680175200437445e-08</v>
      </c>
      <c r="P15" s="275" t="n">
        <v>61357.3</v>
      </c>
      <c r="Q15" s="275" t="n">
        <v>0.00014</v>
      </c>
    </row>
    <row r="16" ht="70" customHeight="1">
      <c r="A16" s="276" t="inlineStr">
        <is>
          <t>★ SS 316 — FULLY OXIDIZED SURFACE (BEST OXIDE ANALOG)</t>
        </is>
      </c>
      <c r="B16" s="277" t="inlineStr">
        <is>
          <t>316 austenitic SS</t>
        </is>
      </c>
      <c r="C16" s="276" t="inlineStr">
        <is>
          <t>Cr/Fe/O mixed oxide — baked in air 0.1 kPa, 973 K, 12 h (both sides)</t>
        </is>
      </c>
      <c r="D16" s="277" t="inlineStr">
        <is>
          <t>Grant et al. 1988</t>
        </is>
      </c>
      <c r="E16" s="277" t="inlineStr">
        <is>
          <t>H₂</t>
        </is>
      </c>
      <c r="F16" s="278" t="n">
        <v>502</v>
      </c>
      <c r="G16" s="278" t="n">
        <v>863</v>
      </c>
      <c r="H16" s="277" t="inlineStr">
        <is>
          <t>~15e-9</t>
        </is>
      </c>
      <c r="I16" s="276" t="inlineStr">
        <is>
          <t>k₁ (dissociative adsorption)  ◀ USE FOR L6 MODEL</t>
        </is>
      </c>
      <c r="J16" s="279" t="n">
        <v>57948.6</v>
      </c>
      <c r="K16" s="277" t="inlineStr">
        <is>
          <t>1.30e-04</t>
        </is>
      </c>
      <c r="L16" s="277" t="inlineStr">
        <is>
          <t>—</t>
        </is>
      </c>
      <c r="M16" s="277" t="inlineStr">
        <is>
          <t>—</t>
        </is>
      </c>
      <c r="N16" s="276" t="inlineStr">
        <is>
          <t>★ BEST OXIDE ANALOG IN DATABASE. Grant 1988 Eq.16. Foil oxidized on both surfaces (air, 973 K, 12 h). Cr/Fe/O mixed oxide — same class as Hastelloy X/N native oxide in service. Oxide composition from Swansiger 1979 AES: ~19% Cr, 43% O, 29% Fe. ONLY entry in Oxides_SurfKin with Arrhenius k₁ in L6-compatible units. Span of k₁ vs surface condition: ~1 order of magnitude at 863 K. ⚠ This is a SS 316 surface oxide, NOT standalone Cr₂O₃ or Al₂O₃. Use as lower-bound estimate for k₁ on Hastelloy X/N oxide. Data also in Metals_SurfKin row 6.</t>
        </is>
      </c>
      <c r="O16" s="279" t="n">
        <v>9.486850757114516e-08</v>
      </c>
      <c r="P16" s="279" t="n">
        <v>57948.6</v>
      </c>
      <c r="Q16" s="279" t="n">
        <v>0.00013</v>
      </c>
    </row>
    <row r="17" ht="40" customHeight="1">
      <c r="A17" s="280" t="inlineStr">
        <is>
          <t>★ ROW HIGHLIGHTED IN GREEN = FULLY OXIDIZED SS 316 SURFACE (Grant 1988 Eq.16) — RECOMMENDED INPUT FOR L6 MODEL k₁ PARAMETER.  It is the only Arrhenius k₁ in this sheet measured on an oxidized surface in compatible units.  Blue row = IBC clean surface (upper bound).  Yellow row = partial IBC (intermediate).  All other rows use Q_p_eff or k_R [cm⁴/s] which are NOT directly usable in the L6 model.</t>
        </is>
      </c>
    </row>
  </sheetData>
  <mergeCells count="4">
    <mergeCell ref="A13:Q13"/>
    <mergeCell ref="A17:Q17"/>
    <mergeCell ref="A2:N2"/>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2"/>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38" customWidth="1" min="2" max="2"/>
    <col width="14" customWidth="1" min="3" max="3"/>
    <col width="14" customWidth="1" min="4" max="4"/>
    <col width="14" customWidth="1" min="5" max="5"/>
    <col width="26" customWidth="1" min="6" max="6"/>
    <col width="14" customWidth="1" min="7" max="7"/>
  </cols>
  <sheetData>
    <row r="1" ht="22" customHeight="1">
      <c r="A1" s="27" t="inlineStr">
        <is>
          <t>Bibliography — All Sources</t>
        </is>
      </c>
    </row>
    <row r="2" ht="14" customHeight="1">
      <c r="A2" s="9" t="inlineStr">
        <is>
          <t>19 references across metals bulk, oxide transport, surface kinetics, and review literature</t>
        </is>
      </c>
    </row>
    <row r="3" ht="30" customHeight="1">
      <c r="A3" s="28" t="inlineStr">
        <is>
          <t>Citation Key</t>
        </is>
      </c>
      <c r="B3" s="28" t="inlineStr">
        <is>
          <t>Authors</t>
        </is>
      </c>
      <c r="C3" s="28" t="inlineStr">
        <is>
          <t>Journal/Report</t>
        </is>
      </c>
      <c r="D3" s="28" t="inlineStr">
        <is>
          <t>Year</t>
        </is>
      </c>
      <c r="E3" s="28" t="inlineStr">
        <is>
          <t>DOI</t>
        </is>
      </c>
      <c r="F3" s="28" t="inlineStr">
        <is>
          <t>Data Content</t>
        </is>
      </c>
      <c r="G3" s="28" t="inlineStr">
        <is>
          <t>Category</t>
        </is>
      </c>
    </row>
    <row r="4" ht="18" customHeight="1">
      <c r="A4" s="264" t="inlineStr">
        <is>
          <t>San Marchi 2007</t>
        </is>
      </c>
      <c r="B4" s="264" t="inlineStr">
        <is>
          <t>San Marchi C, Somerday BP, Robinson SL</t>
        </is>
      </c>
      <c r="C4" s="264" t="inlineStr">
        <is>
          <t>Int. J. Hydrogen Energy 32</t>
        </is>
      </c>
      <c r="D4" s="264" t="inlineStr">
        <is>
          <t>2007</t>
        </is>
      </c>
      <c r="E4" s="264" t="inlineStr">
        <is>
          <t>doi:10.1016/j.ijhydene.2006.05.008</t>
        </is>
      </c>
      <c r="F4" s="264" t="inlineStr">
        <is>
          <t>H₂ transport in austenitic SS. D, E_D, Ks, H_s from Tables 1 &amp; 3.</t>
        </is>
      </c>
      <c r="G4" s="15" t="inlineStr">
        <is>
          <t>Metals</t>
        </is>
      </c>
    </row>
    <row r="5" ht="18" customHeight="1">
      <c r="A5" s="262" t="inlineStr">
        <is>
          <t>Forcey 1988</t>
        </is>
      </c>
      <c r="B5" s="262" t="inlineStr">
        <is>
          <t>Forcey KS, Ross DK, Simpson JCB, Evans DS</t>
        </is>
      </c>
      <c r="C5" s="262" t="inlineStr">
        <is>
          <t>J. Nuclear Materials 160</t>
        </is>
      </c>
      <c r="D5" s="262" t="inlineStr">
        <is>
          <t>1988</t>
        </is>
      </c>
      <c r="E5" s="262" t="inlineStr"/>
      <c r="F5" s="262" t="inlineStr">
        <is>
          <t>Full Arrhenius D+Ks+Phi for 316L and 1.4914 steels in H₂. Primary source for current sensitivity metal bulk params.</t>
        </is>
      </c>
      <c r="G5" s="19" t="inlineStr">
        <is>
          <t>Metals</t>
        </is>
      </c>
    </row>
    <row r="6" ht="18" customHeight="1">
      <c r="A6" s="264" t="inlineStr">
        <is>
          <t>Strehlow &amp; Savage 1974</t>
        </is>
      </c>
      <c r="B6" s="264" t="inlineStr">
        <is>
          <t>Strehlow RA, Savage HC</t>
        </is>
      </c>
      <c r="C6" s="264" t="inlineStr">
        <is>
          <t>Nuclear Technology 22(1)</t>
        </is>
      </c>
      <c r="D6" s="264" t="inlineStr">
        <is>
          <t>1974</t>
        </is>
      </c>
      <c r="E6" s="264" t="inlineStr">
        <is>
          <t>DOI: 10.13182/NT74-A16282</t>
        </is>
      </c>
      <c r="F6" s="264" t="inlineStr">
        <is>
          <t>Composite Phi for Hastelloy N, Ni, Incoloy 800, SS, Croloy. D₂. Single-T Phi_ref for most entries.</t>
        </is>
      </c>
      <c r="G6" s="15" t="inlineStr">
        <is>
          <t>Metals</t>
        </is>
      </c>
    </row>
    <row r="7" ht="18" customHeight="1">
      <c r="A7" s="262" t="inlineStr">
        <is>
          <t>Rohrig 1975</t>
        </is>
      </c>
      <c r="B7" s="262" t="inlineStr">
        <is>
          <t>Rohrig HD, Fischer PG, Hecker R</t>
        </is>
      </c>
      <c r="C7" s="262" t="inlineStr">
        <is>
          <t>J. Am. Ceram. Soc. 59</t>
        </is>
      </c>
      <c r="D7" s="262" t="inlineStr">
        <is>
          <t>1975</t>
        </is>
      </c>
      <c r="E7" s="262" t="inlineStr"/>
      <c r="F7" s="262" t="inlineStr">
        <is>
          <t>D₂ permeability for Hastelloy N, Incoloy 800/600, 304L SS, Ni, X15CrNiSi. Full Phi_ref+Q_p+Phi_0.</t>
        </is>
      </c>
      <c r="G7" s="19" t="inlineStr">
        <is>
          <t>Metals</t>
        </is>
      </c>
    </row>
    <row r="8" ht="18" customHeight="1">
      <c r="A8" s="264" t="inlineStr">
        <is>
          <t>Grant 1988</t>
        </is>
      </c>
      <c r="B8" s="264" t="inlineStr">
        <is>
          <t>Grant DM, Cummings DL, Blackburn DA</t>
        </is>
      </c>
      <c r="C8" s="264" t="inlineStr">
        <is>
          <t>J. Nuclear Materials 152</t>
        </is>
      </c>
      <c r="D8" s="264" t="inlineStr">
        <is>
          <t>1988</t>
        </is>
      </c>
      <c r="E8" s="264" t="inlineStr">
        <is>
          <t>DOI: 10.1016/0022-3115(88)90128-7</t>
        </is>
      </c>
      <c r="F8" s="264" t="inlineStr">
        <is>
          <t>316 steel H₂ transport. ONLY source with full surface kinetics k1 (3 conditions).</t>
        </is>
      </c>
      <c r="G8" s="15" t="inlineStr">
        <is>
          <t>Metals + Surface Kinetics</t>
        </is>
      </c>
    </row>
    <row r="9" ht="18" customHeight="1">
      <c r="A9" s="262" t="inlineStr">
        <is>
          <t>Schmidt 1985</t>
        </is>
      </c>
      <c r="B9" s="262" t="inlineStr">
        <is>
          <t>Schmidt H, Batfalsky P</t>
        </is>
      </c>
      <c r="C9" s="262" t="inlineStr">
        <is>
          <t>J. Nuclear Materials 131</t>
        </is>
      </c>
      <c r="D9" s="262" t="inlineStr">
        <is>
          <t>1985</t>
        </is>
      </c>
      <c r="E9" s="262" t="inlineStr"/>
      <c r="F9" s="262" t="inlineStr">
        <is>
          <t>H₂ and T₂ permeation in 30+ heat-resistant alloys. Full D+Ks+Phi for many Ni-Cr alloys.</t>
        </is>
      </c>
      <c r="G9" s="19" t="inlineStr">
        <is>
          <t>Metals</t>
        </is>
      </c>
    </row>
    <row r="10" ht="18" customHeight="1">
      <c r="A10" s="264" t="inlineStr">
        <is>
          <t>Perng &amp; Altstetter</t>
        </is>
      </c>
      <c r="B10" s="264" t="inlineStr">
        <is>
          <t>Perng TP, Altstetter CJ</t>
        </is>
      </c>
      <c r="C10" s="264" t="inlineStr">
        <is>
          <t>Metall. Trans. A</t>
        </is>
      </c>
      <c r="D10" s="264" t="inlineStr">
        <is>
          <t>~1986</t>
        </is>
      </c>
      <c r="E10" s="264" t="inlineStr"/>
      <c r="F10" s="264" t="inlineStr">
        <is>
          <t>AISI 304 H₂ transport 100-600°C. Full Arrhenius D+Ks+Phi.</t>
        </is>
      </c>
      <c r="G10" s="15" t="inlineStr">
        <is>
          <t>Metals</t>
        </is>
      </c>
    </row>
    <row r="11" ht="18" customHeight="1">
      <c r="A11" s="262" t="inlineStr">
        <is>
          <t>Brass &amp; Chene</t>
        </is>
      </c>
      <c r="B11" s="262" t="inlineStr">
        <is>
          <t>Brass AM, Chene J</t>
        </is>
      </c>
      <c r="C11" s="262" t="inlineStr">
        <is>
          <t>Acta Metallurgica</t>
        </is>
      </c>
      <c r="D11" s="262" t="inlineStr">
        <is>
          <t>~1989</t>
        </is>
      </c>
      <c r="E11" s="262" t="inlineStr"/>
      <c r="F11" s="262" t="inlineStr">
        <is>
          <t>AISI 304/316 grain boundary T₂ diffusion. D_ref and E_D only.</t>
        </is>
      </c>
      <c r="G11" s="19" t="inlineStr">
        <is>
          <t>Metals</t>
        </is>
      </c>
    </row>
    <row r="12" ht="18" customHeight="1">
      <c r="A12" s="264" t="inlineStr">
        <is>
          <t>Louthan et al.</t>
        </is>
      </c>
      <c r="B12" s="264" t="inlineStr">
        <is>
          <t>Louthan MR Jr et al.</t>
        </is>
      </c>
      <c r="C12" s="264" t="inlineStr">
        <is>
          <t>Mater. Sci. Eng.</t>
        </is>
      </c>
      <c r="D12" s="264" t="inlineStr">
        <is>
          <t>~1972</t>
        </is>
      </c>
      <c r="E12" s="264" t="inlineStr"/>
      <c r="F12" s="264" t="inlineStr">
        <is>
          <t>AISI 304L T₂ low-T diffusion. D_ref and E_D only.</t>
        </is>
      </c>
      <c r="G12" s="15" t="inlineStr">
        <is>
          <t>Metals</t>
        </is>
      </c>
    </row>
    <row r="13" ht="18" customHeight="1">
      <c r="A13" s="262" t="inlineStr">
        <is>
          <t>JAERI 2002</t>
        </is>
      </c>
      <c r="B13" s="262" t="inlineStr">
        <is>
          <t>Various</t>
        </is>
      </c>
      <c r="C13" s="262" t="inlineStr">
        <is>
          <t>JAERI-Tech 2002-090</t>
        </is>
      </c>
      <c r="D13" s="262" t="inlineStr">
        <is>
          <t>2002</t>
        </is>
      </c>
      <c r="E13" s="262" t="inlineStr"/>
      <c r="F13" s="262" t="inlineStr">
        <is>
          <t>Incoloy 800 calibrated permeability H₂. D_ref and Ks_ref only (no Phi_0).</t>
        </is>
      </c>
      <c r="G13" s="19" t="inlineStr">
        <is>
          <t>Metals</t>
        </is>
      </c>
    </row>
    <row r="14" ht="18" customHeight="1">
      <c r="A14" s="264" t="inlineStr">
        <is>
          <t>Nemanic 2023</t>
        </is>
      </c>
      <c r="B14" s="264" t="inlineStr">
        <is>
          <t>Nemanic V, Zajec B, McGuiness P et al.</t>
        </is>
      </c>
      <c r="C14" s="264" t="inlineStr">
        <is>
          <t>Int. J. Hydrogen Energy 48</t>
        </is>
      </c>
      <c r="D14" s="264" t="inlineStr">
        <is>
          <t>2023</t>
        </is>
      </c>
      <c r="E14" s="264" t="inlineStr">
        <is>
          <t>DOI: 10.1016/j.ijhydene.2022.11.267</t>
        </is>
      </c>
      <c r="F14" s="264" t="inlineStr">
        <is>
          <t>Cr2O3 on pure Cr. Phi_ox, D_ox, PRF. PRIMARY source for Cr2O3 transport parameters at 673 K.</t>
        </is>
      </c>
      <c r="G14" s="15" t="inlineStr">
        <is>
          <t>Oxides</t>
        </is>
      </c>
    </row>
    <row r="15" ht="18" customHeight="1">
      <c r="A15" s="262" t="inlineStr">
        <is>
          <t>Chen 2011</t>
        </is>
      </c>
      <c r="B15" s="262" t="inlineStr">
        <is>
          <t>Chen CF, Yu HB, Zheng SQ</t>
        </is>
      </c>
      <c r="C15" s="262" t="inlineStr">
        <is>
          <t>Sci. China Tech. Sci. 54(1)</t>
        </is>
      </c>
      <c r="D15" s="262" t="inlineStr">
        <is>
          <t>2011</t>
        </is>
      </c>
      <c r="E15" s="262" t="inlineStr">
        <is>
          <t>DOI: 10.1007/s11431-010-4112-3</t>
        </is>
      </c>
      <c r="F15" s="262" t="inlineStr">
        <is>
          <t>DFT H diffusion in bulk alpha-Cr2O3. D_0=1.78e-9, E_D=70434 J/mol. No Phi.</t>
        </is>
      </c>
      <c r="G15" s="19" t="inlineStr">
        <is>
          <t>Oxides (DFT)</t>
        </is>
      </c>
    </row>
    <row r="16" ht="18" customHeight="1">
      <c r="A16" s="264" t="inlineStr">
        <is>
          <t>Roberts 1979</t>
        </is>
      </c>
      <c r="B16" s="264" t="inlineStr">
        <is>
          <t>Roberts RM, Elleman TS, Palour H III, Verghese K</t>
        </is>
      </c>
      <c r="C16" s="264" t="inlineStr">
        <is>
          <t>J. Am. Ceram. Soc. 62</t>
        </is>
      </c>
      <c r="D16" s="264" t="inlineStr">
        <is>
          <t>1979</t>
        </is>
      </c>
      <c r="E16" s="264" t="inlineStr"/>
      <c r="F16" s="264" t="inlineStr">
        <is>
          <t>H₂ through sintered Al2O3, 1200-1450°C. Q_p=318200 J/mol, n=0.43. PRIMARY source for Al2O3 Arrhenius.</t>
        </is>
      </c>
      <c r="G16" s="15" t="inlineStr">
        <is>
          <t>Oxides</t>
        </is>
      </c>
    </row>
    <row r="17" ht="18" customHeight="1">
      <c r="A17" s="262" t="inlineStr">
        <is>
          <t>Belonoshko 2004</t>
        </is>
      </c>
      <c r="B17" s="262" t="inlineStr">
        <is>
          <t>Belonoshko AB, Rosengren A, Dong Q, Hultquist G, Leygraf C</t>
        </is>
      </c>
      <c r="C17" s="262" t="inlineStr">
        <is>
          <t>Phys. Rev. B 69</t>
        </is>
      </c>
      <c r="D17" s="262" t="inlineStr">
        <is>
          <t>2004</t>
        </is>
      </c>
      <c r="E17" s="262" t="inlineStr"/>
      <c r="F17" s="262" t="inlineStr">
        <is>
          <t>DFT H in Al2O3. D_0=2.173e-7 m²/s, E_D=119641 J/mol. Used to split Q_p into E_D + H_sol.</t>
        </is>
      </c>
      <c r="G17" s="19" t="inlineStr">
        <is>
          <t>Oxides (DFT)</t>
        </is>
      </c>
    </row>
    <row r="18" ht="18" customHeight="1">
      <c r="A18" s="264" t="inlineStr">
        <is>
          <t>Hollenberg 1995</t>
        </is>
      </c>
      <c r="B18" s="264" t="inlineStr">
        <is>
          <t>Hollenberg GW, Simonen EP, Kalinin G, Terlain A</t>
        </is>
      </c>
      <c r="C18" s="264" t="inlineStr">
        <is>
          <t>Fusion Eng. Design 28</t>
        </is>
      </c>
      <c r="D18" s="264" t="inlineStr">
        <is>
          <t>1995</t>
        </is>
      </c>
      <c r="E18" s="264" t="inlineStr">
        <is>
          <t>DOI: 10.1016/0920-3796(95)90039-X</t>
        </is>
      </c>
      <c r="F18" s="264" t="inlineStr">
        <is>
          <t>Review: H/T barrier development. PRF for Cr2O3, Al2O3/aluminide, TiC/TiN on SS316. Q_p=318 kJ/mol for Al2O3.</t>
        </is>
      </c>
      <c r="G18" s="15" t="inlineStr">
        <is>
          <t>Oxides</t>
        </is>
      </c>
    </row>
    <row r="19" ht="18" customHeight="1">
      <c r="A19" s="262" t="inlineStr">
        <is>
          <t>Medasani 2019</t>
        </is>
      </c>
      <c r="B19" s="262" t="inlineStr">
        <is>
          <t>Medasani BK, Sushko ML, Rosso KM, Schreiber DK, Bruemmer SM</t>
        </is>
      </c>
      <c r="C19" s="262" t="inlineStr">
        <is>
          <t>J. Phys. Chem. C 123(36)</t>
        </is>
      </c>
      <c r="D19" s="262" t="inlineStr">
        <is>
          <t>2019</t>
        </is>
      </c>
      <c r="E19" s="262" t="inlineStr">
        <is>
          <t>DOI: 10.1021/acs.jpcc.9b03218</t>
        </is>
      </c>
      <c r="F19" s="262" t="inlineStr">
        <is>
          <t>Cr/O ION self-diffusion in Cr2O3 (NOT H diffusion). Use for oxide growth kinetics only.</t>
        </is>
      </c>
      <c r="G19" s="19" t="inlineStr">
        <is>
          <t>Oxides (DFT)</t>
        </is>
      </c>
    </row>
    <row r="20" ht="18" customHeight="1">
      <c r="A20" s="264" t="inlineStr">
        <is>
          <t>Swansiger &amp; Bastasz 1979</t>
        </is>
      </c>
      <c r="B20" s="264" t="inlineStr">
        <is>
          <t>Swansiger WA, Bastasz R</t>
        </is>
      </c>
      <c r="C20" s="264" t="inlineStr">
        <is>
          <t>J. Nucl. Mater. 85-86</t>
        </is>
      </c>
      <c r="D20" s="264" t="inlineStr">
        <is>
          <t>1979</t>
        </is>
      </c>
      <c r="E20" s="264" t="inlineStr">
        <is>
          <t>DOI: 10.1016/0022-3115(79)90512-9</t>
        </is>
      </c>
      <c r="F20" s="264" t="inlineStr">
        <is>
          <t>T₂/D₂ in SS with thin oxide. Surface-kinetics limited. Q_p_composite, PRF, Phi_0 bare.</t>
        </is>
      </c>
      <c r="G20" s="15" t="inlineStr">
        <is>
          <t>Oxides (Surface)</t>
        </is>
      </c>
    </row>
    <row r="21" ht="18" customHeight="1">
      <c r="A21" s="262" t="inlineStr">
        <is>
          <t>Yamawaki 1989</t>
        </is>
      </c>
      <c r="B21" s="262" t="inlineStr">
        <is>
          <t>Yamawaki M, Namba T, Okuda K, Tanaka M, Kiyoshi T</t>
        </is>
      </c>
      <c r="C21" s="262" t="inlineStr">
        <is>
          <t>J. Nucl. Mater. 162-164</t>
        </is>
      </c>
      <c r="D21" s="262" t="inlineStr">
        <is>
          <t>1989</t>
        </is>
      </c>
      <c r="E21" s="262" t="inlineStr"/>
      <c r="F21" s="262" t="inlineStr">
        <is>
          <t>Recombination coefficient kR vs O/S surface impurity. Units cm^4/s. Not k_diss.</t>
        </is>
      </c>
      <c r="G21" s="19" t="inlineStr">
        <is>
          <t>Oxides (Surface)</t>
        </is>
      </c>
    </row>
    <row r="22" ht="18" customHeight="1">
      <c r="A22" s="264" t="inlineStr">
        <is>
          <t>Ronnebro 2022</t>
        </is>
      </c>
      <c r="B22" s="264" t="inlineStr">
        <is>
          <t>Ronnebro ECE et al.</t>
        </is>
      </c>
      <c r="C22" s="264" t="inlineStr">
        <is>
          <t>Molecules 27, 6528</t>
        </is>
      </c>
      <c r="D22" s="264" t="inlineStr">
        <is>
          <t>2022</t>
        </is>
      </c>
      <c r="E22" s="264" t="inlineStr">
        <is>
          <t>DOI: 10.3390/molecules27196528</t>
        </is>
      </c>
      <c r="F22" s="264" t="inlineStr">
        <is>
          <t>Review of H permeation barrier coatings. No primary numerical data.</t>
        </is>
      </c>
      <c r="G22" s="15" t="inlineStr">
        <is>
          <t>Review</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9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45" customWidth="1" min="2" max="2"/>
    <col width="8" customWidth="1" min="3" max="3"/>
    <col width="16" customWidth="1" min="4" max="4"/>
    <col width="10" customWidth="1" min="5" max="5"/>
    <col width="26" customWidth="1" min="6" max="6"/>
    <col width="22" customWidth="1" min="7" max="7"/>
    <col width="16" customWidth="1" min="8" max="8"/>
    <col width="12" customWidth="1" min="9" max="9"/>
    <col width="16" customWidth="1" min="10" max="10"/>
    <col width="18" customWidth="1" min="11" max="11"/>
    <col width="12" customWidth="1" min="12" max="12"/>
    <col width="18" customWidth="1" min="13" max="13"/>
    <col width="20" customWidth="1" min="14" max="14"/>
    <col width="12" customWidth="1" min="15" max="15"/>
    <col width="20" customWidth="1" min="16" max="16"/>
    <col width="8" customWidth="1" min="17" max="17"/>
    <col width="8" customWidth="1" min="18" max="18"/>
    <col width="8" customWidth="1" min="19" max="19"/>
    <col width="14" customWidth="1" min="20" max="20"/>
    <col width="20" customWidth="1" min="21" max="21"/>
    <col width="35" customWidth="1" min="22" max="22"/>
  </cols>
  <sheetData>
    <row r="1" ht="22" customHeight="1">
      <c r="A1" s="8" t="inlineStr">
        <is>
          <t>Metal Bulk Transport Properties — H₂ Equivalent (Isotope-Scaled)</t>
        </is>
      </c>
    </row>
    <row r="2" ht="28" customHeight="1">
      <c r="A2" s="29" t="inlineStr">
        <is>
          <t>Scaled parameters (D_ref, D_0, Phi_ref, Phi_0) multiplied by √(m_iso/m_H): D₂→H₂ ×√2=1.4142, T₂→H₂ ×√3=1.7321.  Unchanged parameters (E_D, Q_p, H_s, Ks_ref, K_s0) carried over without modification.  Green bold = scaled value.  Grey italic = unchanged.  White = native H₂.</t>
        </is>
      </c>
    </row>
    <row r="3" ht="16" customHeight="1">
      <c r="A3" s="30" t="inlineStr">
        <is>
          <t>Identity</t>
        </is>
      </c>
      <c r="B3" s="82" t="n"/>
      <c r="C3" s="82" t="n"/>
      <c r="D3" s="83" t="n"/>
      <c r="E3" s="31" t="inlineStr">
        <is>
          <t>Isotope Scaling</t>
        </is>
      </c>
      <c r="F3" s="82" t="n"/>
      <c r="G3" s="83" t="n"/>
      <c r="H3" s="32" t="inlineStr">
        <is>
          <t>Diffusion &amp; Solubility — H₂ equivalent</t>
        </is>
      </c>
      <c r="I3" s="82" t="n"/>
      <c r="J3" s="82" t="n"/>
      <c r="K3" s="82" t="n"/>
      <c r="L3" s="82" t="n"/>
      <c r="M3" s="83" t="n"/>
      <c r="N3" s="33" t="inlineStr">
        <is>
          <t>Permeability — H₂ equivalent</t>
        </is>
      </c>
      <c r="O3" s="82" t="n"/>
      <c r="P3" s="83" t="n"/>
      <c r="Q3" s="34" t="inlineStr">
        <is>
          <t>Temperature &amp; Geometry</t>
        </is>
      </c>
      <c r="R3" s="82" t="n"/>
      <c r="S3" s="82" t="n"/>
      <c r="T3" s="82" t="n"/>
      <c r="U3" s="83" t="n"/>
      <c r="V3" s="35" t="inlineStr">
        <is>
          <t>Notes</t>
        </is>
      </c>
    </row>
    <row r="4" ht="36" customHeight="1">
      <c r="A4" s="10" t="inlineStr">
        <is>
          <t>Material Key</t>
        </is>
      </c>
      <c r="B4" s="10" t="inlineStr">
        <is>
          <t>Reference</t>
        </is>
      </c>
      <c r="C4" s="10" t="inlineStr">
        <is>
          <t>Gas (original)</t>
        </is>
      </c>
      <c r="D4" s="10" t="inlineStr">
        <is>
          <t>Source Type</t>
        </is>
      </c>
      <c r="E4" s="36" t="inlineStr">
        <is>
          <t>Scale Factor</t>
        </is>
      </c>
      <c r="F4" s="36" t="inlineStr">
        <is>
          <t>Scaling Applied</t>
        </is>
      </c>
      <c r="G4" s="36" t="inlineStr">
        <is>
          <t>ZPE Correction Applied</t>
        </is>
      </c>
      <c r="H4" s="37" t="inlineStr">
        <is>
          <t>D_ref_H2 (m²/s)</t>
        </is>
      </c>
      <c r="I4" s="38" t="inlineStr">
        <is>
          <t>E_D (J/mol)</t>
        </is>
      </c>
      <c r="J4" s="37" t="inlineStr">
        <is>
          <t>D_0_H2 (m²/s)</t>
        </is>
      </c>
      <c r="K4" s="38" t="inlineStr">
        <is>
          <t>Ks_ref (mol/m³/Pa⁰·⁵)</t>
        </is>
      </c>
      <c r="L4" s="38" t="inlineStr">
        <is>
          <t>H_s (J/mol)</t>
        </is>
      </c>
      <c r="M4" s="38" t="inlineStr">
        <is>
          <t>K_s0 (mol/m³/Pa⁰·⁵)</t>
        </is>
      </c>
      <c r="N4" s="37" t="inlineStr">
        <is>
          <t>Phi_ref_H2 (mol/m/s/Pa⁰·⁵)</t>
        </is>
      </c>
      <c r="O4" s="38" t="inlineStr">
        <is>
          <t>Q_p (J/mol)</t>
        </is>
      </c>
      <c r="P4" s="37" t="inlineStr">
        <is>
          <t>Phi_0_H2 (mol/m/s/Pa⁰·⁵)</t>
        </is>
      </c>
      <c r="Q4" s="39" t="inlineStr">
        <is>
          <t>T_ref (K)</t>
        </is>
      </c>
      <c r="R4" s="39" t="inlineStr">
        <is>
          <t>T_min (K)</t>
        </is>
      </c>
      <c r="S4" s="39" t="inlineStr">
        <is>
          <t>T_max (K)</t>
        </is>
      </c>
      <c r="T4" s="39" t="inlineStr">
        <is>
          <t>Thickness (m)</t>
        </is>
      </c>
      <c r="U4" s="39" t="inlineStr">
        <is>
          <t>k1_ref_oxidized (mol/m²/s/Pa)</t>
        </is>
      </c>
      <c r="V4" s="39" t="inlineStr">
        <is>
          <t>Notes</t>
        </is>
      </c>
    </row>
    <row r="5" ht="16" customHeight="1">
      <c r="A5" s="262" t="inlineStr">
        <is>
          <t>Austenitic_SS_1</t>
        </is>
      </c>
      <c r="B5" s="262" t="inlineStr">
        <is>
          <t>San Marchi 2007, Table 1. doi:10.1016/j.ijhydene.2006.05.008</t>
        </is>
      </c>
      <c r="C5" s="262" t="inlineStr">
        <is>
          <t>H₂</t>
        </is>
      </c>
      <c r="D5" s="262" t="inlineStr">
        <is>
          <t>San Marchi 2007</t>
        </is>
      </c>
      <c r="E5" s="263" t="n">
        <v>1</v>
      </c>
      <c r="F5" s="262" t="inlineStr">
        <is>
          <t>No scaling — native H₂</t>
        </is>
      </c>
      <c r="G5" s="262" t="inlineStr">
        <is>
          <t>No (&lt; 15% at 600-1200K)</t>
        </is>
      </c>
      <c r="H5" s="266" t="n">
        <v>6.16e-11</v>
      </c>
      <c r="I5" s="263" t="n">
        <v>54000</v>
      </c>
      <c r="J5" s="43" t="inlineStr">
        <is>
          <t>—</t>
        </is>
      </c>
      <c r="K5" s="263" t="n">
        <v>0.06494999999999999</v>
      </c>
      <c r="L5" s="263" t="n">
        <v>5900</v>
      </c>
      <c r="M5" s="43" t="inlineStr">
        <is>
          <t>—</t>
        </is>
      </c>
      <c r="N5" s="266" t="n">
        <v>4.004e-12</v>
      </c>
      <c r="O5" s="43" t="inlineStr">
        <is>
          <t>—</t>
        </is>
      </c>
      <c r="P5" s="43" t="inlineStr">
        <is>
          <t>—</t>
        </is>
      </c>
      <c r="Q5" s="263" t="n">
        <v>700</v>
      </c>
      <c r="R5" s="263" t="n">
        <v>423</v>
      </c>
      <c r="S5" s="263" t="n">
        <v>700</v>
      </c>
      <c r="T5" s="43" t="inlineStr">
        <is>
          <t>—</t>
        </is>
      </c>
      <c r="U5" s="43" t="inlineStr">
        <is>
          <t>—</t>
        </is>
      </c>
      <c r="V5" s="19" t="inlineStr">
        <is>
          <t>Austenitic stainless steel, calibrated from Table 1.</t>
        </is>
      </c>
    </row>
    <row r="6" ht="16" customHeight="1">
      <c r="A6" s="264" t="inlineStr">
        <is>
          <t>Austenitic_SS_2</t>
        </is>
      </c>
      <c r="B6" s="264" t="inlineStr">
        <is>
          <t>San Marchi 2007, Table 1. doi:10.1016/j.ijhydene.2006.05.008</t>
        </is>
      </c>
      <c r="C6" s="264" t="inlineStr">
        <is>
          <t>H₂</t>
        </is>
      </c>
      <c r="D6" s="264" t="inlineStr">
        <is>
          <t>San Marchi 2007</t>
        </is>
      </c>
      <c r="E6" s="265" t="n">
        <v>1</v>
      </c>
      <c r="F6" s="264" t="inlineStr">
        <is>
          <t>No scaling — native H₂</t>
        </is>
      </c>
      <c r="G6" s="264" t="inlineStr">
        <is>
          <t>No (&lt; 15% at 600-1200K)</t>
        </is>
      </c>
      <c r="H6" s="267" t="n">
        <v>5.734e-11</v>
      </c>
      <c r="I6" s="265" t="n">
        <v>53620</v>
      </c>
      <c r="J6" s="43" t="inlineStr">
        <is>
          <t>—</t>
        </is>
      </c>
      <c r="K6" s="265" t="n">
        <v>0.1104</v>
      </c>
      <c r="L6" s="265" t="n">
        <v>8650</v>
      </c>
      <c r="M6" s="43" t="inlineStr">
        <is>
          <t>—</t>
        </is>
      </c>
      <c r="N6" s="267" t="n">
        <v>6.339e-12</v>
      </c>
      <c r="O6" s="43" t="inlineStr">
        <is>
          <t>—</t>
        </is>
      </c>
      <c r="P6" s="43" t="inlineStr">
        <is>
          <t>—</t>
        </is>
      </c>
      <c r="Q6" s="265" t="n">
        <v>700</v>
      </c>
      <c r="R6" s="265" t="n">
        <v>423</v>
      </c>
      <c r="S6" s="265" t="n">
        <v>703</v>
      </c>
      <c r="T6" s="43" t="inlineStr">
        <is>
          <t>—</t>
        </is>
      </c>
      <c r="U6" s="43" t="inlineStr">
        <is>
          <t>—</t>
        </is>
      </c>
      <c r="V6" s="15" t="inlineStr">
        <is>
          <t>Austenitic stainless steel, calibrated from Table 1.</t>
        </is>
      </c>
    </row>
    <row r="7" ht="16" customHeight="1">
      <c r="A7" s="262" t="inlineStr">
        <is>
          <t>Austenitic_SS_3</t>
        </is>
      </c>
      <c r="B7" s="262" t="inlineStr">
        <is>
          <t>San Marchi 2007, Table 1. doi:10.1016/j.ijhydene.2006.05.008</t>
        </is>
      </c>
      <c r="C7" s="262" t="inlineStr">
        <is>
          <t>H₂</t>
        </is>
      </c>
      <c r="D7" s="262" t="inlineStr">
        <is>
          <t>San Marchi 2007</t>
        </is>
      </c>
      <c r="E7" s="263" t="n">
        <v>1</v>
      </c>
      <c r="F7" s="262" t="inlineStr">
        <is>
          <t>No scaling — native H₂</t>
        </is>
      </c>
      <c r="G7" s="262" t="inlineStr">
        <is>
          <t>No (&lt; 15% at 600-1200K)</t>
        </is>
      </c>
      <c r="H7" s="266" t="n">
        <v>1.478e-11</v>
      </c>
      <c r="I7" s="263" t="n">
        <v>49300</v>
      </c>
      <c r="J7" s="43" t="inlineStr">
        <is>
          <t>—</t>
        </is>
      </c>
      <c r="K7" s="263" t="n">
        <v>0.07074</v>
      </c>
      <c r="L7" s="263" t="n">
        <v>6860</v>
      </c>
      <c r="M7" s="43" t="inlineStr">
        <is>
          <t>—</t>
        </is>
      </c>
      <c r="N7" s="266" t="n">
        <v>1.045e-12</v>
      </c>
      <c r="O7" s="43" t="inlineStr">
        <is>
          <t>—</t>
        </is>
      </c>
      <c r="P7" s="43" t="inlineStr">
        <is>
          <t>—</t>
        </is>
      </c>
      <c r="Q7" s="263" t="n">
        <v>623</v>
      </c>
      <c r="R7" s="263" t="n">
        <v>373</v>
      </c>
      <c r="S7" s="263" t="n">
        <v>623</v>
      </c>
      <c r="T7" s="43" t="inlineStr">
        <is>
          <t>—</t>
        </is>
      </c>
      <c r="U7" s="43" t="inlineStr">
        <is>
          <t>—</t>
        </is>
      </c>
      <c r="V7" s="19" t="inlineStr">
        <is>
          <t>Austenitic stainless steel, calibrated from Table 1.</t>
        </is>
      </c>
    </row>
    <row r="8" ht="16" customHeight="1">
      <c r="A8" s="264" t="inlineStr">
        <is>
          <t>Austenitic_SS_300series</t>
        </is>
      </c>
      <c r="B8" s="264" t="inlineStr">
        <is>
          <t>San Marchi 2007, Table 3. doi:10.1016/j.ijhydene.2006.05.008</t>
        </is>
      </c>
      <c r="C8" s="264" t="inlineStr">
        <is>
          <t>H₂</t>
        </is>
      </c>
      <c r="D8" s="264" t="inlineStr">
        <is>
          <t>San Marchi 2007</t>
        </is>
      </c>
      <c r="E8" s="265" t="n">
        <v>1</v>
      </c>
      <c r="F8" s="264" t="inlineStr">
        <is>
          <t>No scaling — native H₂</t>
        </is>
      </c>
      <c r="G8" s="264" t="inlineStr">
        <is>
          <t>No (&lt; 15% at 600-1200K)</t>
        </is>
      </c>
      <c r="H8" s="267" t="n">
        <v>2.69e-11</v>
      </c>
      <c r="I8" s="265" t="n">
        <v>53900</v>
      </c>
      <c r="J8" s="43" t="inlineStr">
        <is>
          <t>—</t>
        </is>
      </c>
      <c r="K8" s="265" t="n">
        <v>0.04322</v>
      </c>
      <c r="L8" s="265" t="n">
        <v>5900</v>
      </c>
      <c r="M8" s="43" t="inlineStr">
        <is>
          <t>—</t>
        </is>
      </c>
      <c r="N8" s="267" t="n">
        <v>1.163e-12</v>
      </c>
      <c r="O8" s="43" t="inlineStr">
        <is>
          <t>—</t>
        </is>
      </c>
      <c r="P8" s="43" t="inlineStr">
        <is>
          <t>—</t>
        </is>
      </c>
      <c r="Q8" s="265" t="n">
        <v>623</v>
      </c>
      <c r="R8" s="265" t="n">
        <v>373</v>
      </c>
      <c r="S8" s="265" t="n">
        <v>623</v>
      </c>
      <c r="T8" s="43" t="inlineStr">
        <is>
          <t>—</t>
        </is>
      </c>
      <c r="U8" s="43" t="inlineStr">
        <is>
          <t>—</t>
        </is>
      </c>
      <c r="V8" s="15" t="inlineStr">
        <is>
          <t>Austenitic stainless steel 300 series, calibrated from Table 3.</t>
        </is>
      </c>
    </row>
    <row r="9" ht="16" customHeight="1">
      <c r="A9" s="262" t="inlineStr">
        <is>
          <t>Austenitic_SS_21Cr_6Ni_9Mn_22Cr_13Ni_5Mn</t>
        </is>
      </c>
      <c r="B9" s="262" t="inlineStr">
        <is>
          <t>San Marchi 2007, Table 3. doi:10.1016/j.ijhydene.2006.05.008</t>
        </is>
      </c>
      <c r="C9" s="262" t="inlineStr">
        <is>
          <t>H₂</t>
        </is>
      </c>
      <c r="D9" s="262" t="inlineStr">
        <is>
          <t>San Marchi 2007</t>
        </is>
      </c>
      <c r="E9" s="263" t="n">
        <v>1</v>
      </c>
      <c r="F9" s="262" t="inlineStr">
        <is>
          <t>No scaling — native H₂</t>
        </is>
      </c>
      <c r="G9" s="262" t="inlineStr">
        <is>
          <t>No (&lt; 15% at 600-1200K)</t>
        </is>
      </c>
      <c r="H9" s="266" t="n">
        <v>1.633e-11</v>
      </c>
      <c r="I9" s="263" t="n">
        <v>53900</v>
      </c>
      <c r="J9" s="43" t="inlineStr">
        <is>
          <t>—</t>
        </is>
      </c>
      <c r="K9" s="263" t="n">
        <v>0.07106999999999999</v>
      </c>
      <c r="L9" s="263" t="n">
        <v>5900</v>
      </c>
      <c r="M9" s="43" t="inlineStr">
        <is>
          <t>—</t>
        </is>
      </c>
      <c r="N9" s="266" t="n">
        <v>1.161e-12</v>
      </c>
      <c r="O9" s="43" t="inlineStr">
        <is>
          <t>—</t>
        </is>
      </c>
      <c r="P9" s="43" t="inlineStr">
        <is>
          <t>—</t>
        </is>
      </c>
      <c r="Q9" s="263" t="n">
        <v>623</v>
      </c>
      <c r="R9" s="263" t="n">
        <v>373</v>
      </c>
      <c r="S9" s="263" t="n">
        <v>623</v>
      </c>
      <c r="T9" s="43" t="inlineStr">
        <is>
          <t>—</t>
        </is>
      </c>
      <c r="U9" s="43" t="inlineStr">
        <is>
          <t>—</t>
        </is>
      </c>
      <c r="V9" s="19" t="inlineStr">
        <is>
          <t>Austenitic SS grades 21Cr–6Ni–9Mn and 22Cr–13Ni–5Mn, calibrated from Table 3.</t>
        </is>
      </c>
    </row>
    <row r="10" ht="16" customHeight="1">
      <c r="A10" s="264" t="inlineStr">
        <is>
          <t>Austenitic_SS_A286_JBK75_aged</t>
        </is>
      </c>
      <c r="B10" s="264" t="inlineStr">
        <is>
          <t>San Marchi 2007, Table 3. doi:10.1016/j.ijhydene.2006.05.008</t>
        </is>
      </c>
      <c r="C10" s="264" t="inlineStr">
        <is>
          <t>H₂</t>
        </is>
      </c>
      <c r="D10" s="264" t="inlineStr">
        <is>
          <t>San Marchi 2007</t>
        </is>
      </c>
      <c r="E10" s="265" t="n">
        <v>1</v>
      </c>
      <c r="F10" s="264" t="inlineStr">
        <is>
          <t>No scaling — native H₂</t>
        </is>
      </c>
      <c r="G10" s="264" t="inlineStr">
        <is>
          <t>No (&lt; 15% at 600-1200K)</t>
        </is>
      </c>
      <c r="H10" s="267" t="n">
        <v>3.629e-11</v>
      </c>
      <c r="I10" s="265" t="n">
        <v>53900</v>
      </c>
      <c r="J10" s="43" t="inlineStr">
        <is>
          <t>—</t>
        </is>
      </c>
      <c r="K10" s="265" t="n">
        <v>0.03297</v>
      </c>
      <c r="L10" s="265" t="n">
        <v>5900</v>
      </c>
      <c r="M10" s="43" t="inlineStr">
        <is>
          <t>—</t>
        </is>
      </c>
      <c r="N10" s="267" t="n">
        <v>1.197e-12</v>
      </c>
      <c r="O10" s="43" t="inlineStr">
        <is>
          <t>—</t>
        </is>
      </c>
      <c r="P10" s="43" t="inlineStr">
        <is>
          <t>—</t>
        </is>
      </c>
      <c r="Q10" s="265" t="n">
        <v>623</v>
      </c>
      <c r="R10" s="265" t="n">
        <v>373</v>
      </c>
      <c r="S10" s="265" t="n">
        <v>623</v>
      </c>
      <c r="T10" s="43" t="inlineStr">
        <is>
          <t>—</t>
        </is>
      </c>
      <c r="U10" s="43" t="inlineStr">
        <is>
          <t>—</t>
        </is>
      </c>
      <c r="V10" s="15" t="inlineStr">
        <is>
          <t>Austenitic SS A-286/JBK-75 aged, calibrated from Table 3.</t>
        </is>
      </c>
    </row>
    <row r="11" ht="16" customHeight="1">
      <c r="A11" s="262" t="inlineStr">
        <is>
          <t>metal_316L_Heat_treated_ref_cast</t>
        </is>
      </c>
      <c r="B11" s="262" t="inlineStr">
        <is>
          <t>Forcey et al. 1988 — Heat treated reference cast 316L austenitic steel</t>
        </is>
      </c>
      <c r="C11" s="262" t="inlineStr">
        <is>
          <t>H₂</t>
        </is>
      </c>
      <c r="D11" s="262" t="inlineStr">
        <is>
          <t>Forcey 1988</t>
        </is>
      </c>
      <c r="E11" s="263" t="n">
        <v>1</v>
      </c>
      <c r="F11" s="262" t="inlineStr">
        <is>
          <t>No scaling — native H₂</t>
        </is>
      </c>
      <c r="G11" s="262" t="inlineStr">
        <is>
          <t>No (&lt; 15% at 600-1200K)</t>
        </is>
      </c>
      <c r="H11" s="266" t="n">
        <v>2.194e-10</v>
      </c>
      <c r="I11" s="263" t="n">
        <v>42500</v>
      </c>
      <c r="J11" s="266" t="n">
        <v>7.66e-08</v>
      </c>
      <c r="K11" s="263" t="n">
        <v>0.02723</v>
      </c>
      <c r="L11" s="263" t="n">
        <v>20585</v>
      </c>
      <c r="M11" s="263" t="n">
        <v>0.464</v>
      </c>
      <c r="N11" s="266" t="n">
        <v>1.881e-11</v>
      </c>
      <c r="O11" s="263" t="n">
        <v>63085</v>
      </c>
      <c r="P11" s="266" t="n">
        <v>1.12e-07</v>
      </c>
      <c r="Q11" s="263" t="n">
        <v>873</v>
      </c>
      <c r="R11" s="263" t="n">
        <v>523</v>
      </c>
      <c r="S11" s="263" t="n">
        <v>873</v>
      </c>
      <c r="T11" s="263" t="n">
        <v>0.005</v>
      </c>
      <c r="U11" s="43" t="inlineStr">
        <is>
          <t>—</t>
        </is>
      </c>
      <c r="V11" s="19" t="inlineStr">
        <is>
          <t>Data in SI units. Phi_ref = D_ref * Ks_ref. Ks_0 = Phi_0/D_0 = 1.462.</t>
        </is>
      </c>
    </row>
    <row r="12" ht="16" customHeight="1">
      <c r="A12" s="264" t="inlineStr">
        <is>
          <t>metal_316L_Commercial</t>
        </is>
      </c>
      <c r="B12" s="264" t="inlineStr">
        <is>
          <t>Forcey et al. 1988 — Commercial 316L austenitic steel</t>
        </is>
      </c>
      <c r="C12" s="264" t="inlineStr">
        <is>
          <t>H₂</t>
        </is>
      </c>
      <c r="D12" s="264" t="inlineStr">
        <is>
          <t>Forcey 1988</t>
        </is>
      </c>
      <c r="E12" s="265" t="n">
        <v>1</v>
      </c>
      <c r="F12" s="264" t="inlineStr">
        <is>
          <t>No scaling — native H₂</t>
        </is>
      </c>
      <c r="G12" s="264" t="inlineStr">
        <is>
          <t>No (&lt; 15% at 600-1200K)</t>
        </is>
      </c>
      <c r="H12" s="267" t="n">
        <v>7.237e-10</v>
      </c>
      <c r="I12" s="265" t="n">
        <v>45500</v>
      </c>
      <c r="J12" s="267" t="n">
        <v>3.82e-07</v>
      </c>
      <c r="K12" s="265" t="n">
        <v>0.1171</v>
      </c>
      <c r="L12" s="265" t="n">
        <v>18510</v>
      </c>
      <c r="M12" s="265" t="n">
        <v>1.5</v>
      </c>
      <c r="N12" s="267" t="n">
        <v>2.655e-11</v>
      </c>
      <c r="O12" s="265" t="n">
        <v>64030</v>
      </c>
      <c r="P12" s="267" t="n">
        <v>1.8e-07</v>
      </c>
      <c r="Q12" s="265" t="n">
        <v>873</v>
      </c>
      <c r="R12" s="265" t="n">
        <v>523</v>
      </c>
      <c r="S12" s="265" t="n">
        <v>873</v>
      </c>
      <c r="T12" s="265" t="n">
        <v>0.005</v>
      </c>
      <c r="U12" s="43" t="inlineStr">
        <is>
          <t>—</t>
        </is>
      </c>
      <c r="V12" s="15" t="inlineStr">
        <is>
          <t>Data in SI units. Phi_ref = D_ref * Ks_ref. Ks_0 = Phi_0/D_0 = 0.4712.</t>
        </is>
      </c>
    </row>
    <row r="13" ht="16" customHeight="1">
      <c r="A13" s="262" t="inlineStr">
        <is>
          <t>metal_1.4914_Heat_treated_ref_cast</t>
        </is>
      </c>
      <c r="B13" s="262" t="inlineStr">
        <is>
          <t>Forcey et al. 1988 — Heat-treated reference cast 1.4914 martensitic steel</t>
        </is>
      </c>
      <c r="C13" s="262" t="inlineStr">
        <is>
          <t>H₂</t>
        </is>
      </c>
      <c r="D13" s="262" t="inlineStr">
        <is>
          <t>Forcey 1988</t>
        </is>
      </c>
      <c r="E13" s="263" t="n">
        <v>1</v>
      </c>
      <c r="F13" s="262" t="inlineStr">
        <is>
          <t>No scaling — native H₂</t>
        </is>
      </c>
      <c r="G13" s="262" t="inlineStr">
        <is>
          <t>No (&lt; 15% at 600-1200K)</t>
        </is>
      </c>
      <c r="H13" s="266" t="n">
        <v>1.118e-08</v>
      </c>
      <c r="I13" s="263" t="n">
        <v>13490</v>
      </c>
      <c r="J13" s="266" t="n">
        <v>7.17e-08</v>
      </c>
      <c r="K13" s="263" t="n">
        <v>0.02179</v>
      </c>
      <c r="L13" s="263" t="n">
        <v>29620</v>
      </c>
      <c r="M13" s="263" t="n">
        <v>1.29</v>
      </c>
      <c r="N13" s="266" t="n">
        <v>7.700000000000001e-11</v>
      </c>
      <c r="O13" s="263" t="n">
        <v>43100</v>
      </c>
      <c r="P13" s="266" t="n">
        <v>2.92e-08</v>
      </c>
      <c r="Q13" s="263" t="n">
        <v>873</v>
      </c>
      <c r="R13" s="263" t="n">
        <v>523</v>
      </c>
      <c r="S13" s="263" t="n">
        <v>873</v>
      </c>
      <c r="T13" s="263" t="n">
        <v>0.005</v>
      </c>
      <c r="U13" s="43" t="inlineStr">
        <is>
          <t>—</t>
        </is>
      </c>
      <c r="V13" s="19" t="inlineStr">
        <is>
          <t>Martensitic steel. Phi_ref = D_ref * Ks_ref. Ks_0 = Phi_0/D_0 = 0.4073.</t>
        </is>
      </c>
    </row>
    <row r="14" ht="16" customHeight="1">
      <c r="A14" s="264" t="inlineStr">
        <is>
          <t>metal_1.4914_Commercial</t>
        </is>
      </c>
      <c r="B14" s="264" t="inlineStr">
        <is>
          <t>Forcey et al. 1988 — Commercial 1.4914 martensitic steel</t>
        </is>
      </c>
      <c r="C14" s="264" t="inlineStr">
        <is>
          <t>H₂</t>
        </is>
      </c>
      <c r="D14" s="264" t="inlineStr">
        <is>
          <t>Forcey 1988</t>
        </is>
      </c>
      <c r="E14" s="265" t="n">
        <v>1</v>
      </c>
      <c r="F14" s="264" t="inlineStr">
        <is>
          <t>No scaling — native H₂</t>
        </is>
      </c>
      <c r="G14" s="264" t="inlineStr">
        <is>
          <t>No (&lt; 15% at 600-1200K)</t>
        </is>
      </c>
      <c r="H14" s="267" t="n">
        <v>1.047e-08</v>
      </c>
      <c r="I14" s="265" t="n">
        <v>15470</v>
      </c>
      <c r="J14" s="267" t="n">
        <v>8.82e-08</v>
      </c>
      <c r="K14" s="265" t="n">
        <v>0.02903</v>
      </c>
      <c r="L14" s="265" t="n">
        <v>26890</v>
      </c>
      <c r="M14" s="265" t="n">
        <v>1.18</v>
      </c>
      <c r="N14" s="267" t="n">
        <v>9.737e-11</v>
      </c>
      <c r="O14" s="265" t="n">
        <v>43270</v>
      </c>
      <c r="P14" s="267" t="n">
        <v>3.78e-08</v>
      </c>
      <c r="Q14" s="265" t="n">
        <v>873</v>
      </c>
      <c r="R14" s="265" t="n">
        <v>523</v>
      </c>
      <c r="S14" s="265" t="n">
        <v>873</v>
      </c>
      <c r="T14" s="265" t="n">
        <v>0.005</v>
      </c>
      <c r="U14" s="43" t="inlineStr">
        <is>
          <t>—</t>
        </is>
      </c>
      <c r="V14" s="15" t="inlineStr">
        <is>
          <t>Martensitic steel. Phi_ref = D_ref * Ks_ref. Ks_0 = Phi_0/D_0 = 0.4286. Qs vs H_s diff = 910 J/mol (rounding in source).</t>
        </is>
      </c>
    </row>
    <row r="15" ht="16" customHeight="1">
      <c r="A15" s="232" t="inlineStr">
        <is>
          <t>Nickel_unoxidized_Strehlow1974_tableI</t>
        </is>
      </c>
      <c r="B15" s="232" t="inlineStr">
        <is>
          <t>Strehlow &amp; Savage 1974. DOI: 10.13182/NT74-A16282. TABLE I</t>
        </is>
      </c>
      <c r="C15" s="232" t="inlineStr">
        <is>
          <t>D₂</t>
        </is>
      </c>
      <c r="D15" s="232" t="inlineStr">
        <is>
          <t>Strehlow 1974</t>
        </is>
      </c>
      <c r="E15" s="233" t="n">
        <v>1.414214</v>
      </c>
      <c r="F15" s="232" t="inlineStr">
        <is>
          <t>D₂ → H₂: ×√2 = 1.4142</t>
        </is>
      </c>
      <c r="G15" s="232" t="inlineStr">
        <is>
          <t>No (&lt; 15% at 600-1200K)</t>
        </is>
      </c>
      <c r="H15" s="43" t="inlineStr">
        <is>
          <t>—</t>
        </is>
      </c>
      <c r="I15" s="43" t="inlineStr">
        <is>
          <t>—</t>
        </is>
      </c>
      <c r="J15" s="43" t="inlineStr">
        <is>
          <t>—</t>
        </is>
      </c>
      <c r="K15" s="43" t="inlineStr">
        <is>
          <t>—</t>
        </is>
      </c>
      <c r="L15" s="43" t="inlineStr">
        <is>
          <t>—</t>
        </is>
      </c>
      <c r="M15" s="43" t="inlineStr">
        <is>
          <t>—</t>
        </is>
      </c>
      <c r="N15" s="190" t="n">
        <v>2.647407788762434e-09</v>
      </c>
      <c r="O15" s="50" t="n">
        <v>53550</v>
      </c>
      <c r="P15" s="43" t="inlineStr">
        <is>
          <t>—</t>
        </is>
      </c>
      <c r="Q15" s="233" t="n">
        <v>896</v>
      </c>
      <c r="R15" s="233" t="n">
        <v>873</v>
      </c>
      <c r="S15" s="233" t="n">
        <v>973</v>
      </c>
      <c r="T15" s="234" t="n">
        <v>0.0009</v>
      </c>
      <c r="U15" s="43" t="inlineStr">
        <is>
          <t>—</t>
        </is>
      </c>
      <c r="V15" s="52" t="inlineStr">
        <is>
          <t>Permeation rate at 1 Torr = 1.5e-3 to 1.7e-3 cm³(STP)/(h·cm²) = 1.56e-10 to 1.77e-10 mol/m/s/Pa^0.5. Activation energy range: [12.3, 12.6] kcal/mol = [51.463, 52.718] kJ/mol.</t>
        </is>
      </c>
    </row>
    <row r="16" ht="16" customHeight="1">
      <c r="A16" s="53" t="inlineStr">
        <is>
          <t>Nickel_unoxidized_Strehlow1974_tableII</t>
        </is>
      </c>
      <c r="B16" s="53" t="inlineStr">
        <is>
          <t>Strehlow &amp; Savage 1974. DOI: 10.13182/NT74-A16282. TABLE II</t>
        </is>
      </c>
      <c r="C16" s="53" t="inlineStr">
        <is>
          <t>D₂</t>
        </is>
      </c>
      <c r="D16" s="53" t="inlineStr">
        <is>
          <t>Strehlow 1974</t>
        </is>
      </c>
      <c r="E16" s="54" t="n">
        <v>1.414214</v>
      </c>
      <c r="F16" s="53" t="inlineStr">
        <is>
          <t>D₂ → H₂: ×√2 = 1.4142</t>
        </is>
      </c>
      <c r="G16" s="53" t="inlineStr">
        <is>
          <t>No (&lt; 15% at 600-1200K)</t>
        </is>
      </c>
      <c r="H16" s="43" t="inlineStr">
        <is>
          <t>—</t>
        </is>
      </c>
      <c r="I16" s="43" t="inlineStr">
        <is>
          <t>—</t>
        </is>
      </c>
      <c r="J16" s="43" t="inlineStr">
        <is>
          <t>—</t>
        </is>
      </c>
      <c r="K16" s="43" t="inlineStr">
        <is>
          <t>—</t>
        </is>
      </c>
      <c r="L16" s="43" t="inlineStr">
        <is>
          <t>—</t>
        </is>
      </c>
      <c r="M16" s="43" t="inlineStr">
        <is>
          <t>—</t>
        </is>
      </c>
      <c r="N16" s="55" t="n">
        <v>2.347594513539338e-09</v>
      </c>
      <c r="O16" s="56" t="n">
        <v>53550</v>
      </c>
      <c r="P16" s="43" t="inlineStr">
        <is>
          <t>—</t>
        </is>
      </c>
      <c r="Q16" s="54" t="n">
        <v>896</v>
      </c>
      <c r="R16" s="54" t="n">
        <v>873</v>
      </c>
      <c r="S16" s="54" t="n">
        <v>973</v>
      </c>
      <c r="T16" s="54" t="n">
        <v>0.001</v>
      </c>
      <c r="U16" s="43" t="inlineStr">
        <is>
          <t>—</t>
        </is>
      </c>
      <c r="V16" s="57" t="inlineStr">
        <is>
          <t>Pressure dependence exponent n = [0.51, 0.55]. Permeation rate at 1 Torr = 1.58e-2 to 1.62e-2 cm³(STP)/(h·cm²) = 1.64e-9 to 1.68e-9 mol/m/s/Pa^0.5.</t>
        </is>
      </c>
    </row>
    <row r="17" ht="16" customHeight="1">
      <c r="A17" s="232" t="inlineStr">
        <is>
          <t>Hastelloy_N_unoxidized_Strehlow1974_tableI</t>
        </is>
      </c>
      <c r="B17" s="232" t="inlineStr">
        <is>
          <t>Strehlow &amp; Savage 1974. DOI: 10.13182/NT74-A16282. TABLE I</t>
        </is>
      </c>
      <c r="C17" s="232" t="inlineStr">
        <is>
          <t>D₂</t>
        </is>
      </c>
      <c r="D17" s="232" t="inlineStr">
        <is>
          <t>Strehlow 1974</t>
        </is>
      </c>
      <c r="E17" s="233" t="n">
        <v>1.414214</v>
      </c>
      <c r="F17" s="232" t="inlineStr">
        <is>
          <t>D₂ → H₂: ×√2 = 1.4142</t>
        </is>
      </c>
      <c r="G17" s="232" t="inlineStr">
        <is>
          <t>No (&lt; 15% at 600-1200K)</t>
        </is>
      </c>
      <c r="H17" s="43" t="inlineStr">
        <is>
          <t>—</t>
        </is>
      </c>
      <c r="I17" s="43" t="inlineStr">
        <is>
          <t>—</t>
        </is>
      </c>
      <c r="J17" s="43" t="inlineStr">
        <is>
          <t>—</t>
        </is>
      </c>
      <c r="K17" s="43" t="inlineStr">
        <is>
          <t>—</t>
        </is>
      </c>
      <c r="L17" s="43" t="inlineStr">
        <is>
          <t>—</t>
        </is>
      </c>
      <c r="M17" s="43" t="inlineStr">
        <is>
          <t>—</t>
        </is>
      </c>
      <c r="N17" s="43" t="inlineStr">
        <is>
          <t>—</t>
        </is>
      </c>
      <c r="O17" s="43" t="inlineStr">
        <is>
          <t>—</t>
        </is>
      </c>
      <c r="P17" s="43" t="inlineStr">
        <is>
          <t>—</t>
        </is>
      </c>
      <c r="Q17" s="233" t="n">
        <v>896</v>
      </c>
      <c r="R17" s="233" t="n">
        <v>873</v>
      </c>
      <c r="S17" s="233" t="n">
        <v>973</v>
      </c>
      <c r="T17" s="234" t="n">
        <v>0.0009</v>
      </c>
      <c r="U17" s="43" t="inlineStr">
        <is>
          <t>—</t>
        </is>
      </c>
      <c r="V17" s="52" t="inlineStr">
        <is>
          <t>Permeation rate at 1 Torr = 1e-3 to 1e-2 cm³(STP)/(h·cm²) = 1.04e-10 to 1.04e-9 mol/m/s/Pa^0.5. Activation energy range: [17, 18] kcal/mol = [71.128, 75.312] kJ/mol.</t>
        </is>
      </c>
    </row>
    <row r="18" ht="16" customHeight="1">
      <c r="A18" s="53" t="inlineStr">
        <is>
          <t>Hastelloy_N_unoxidized_Strehlow1974_tableII</t>
        </is>
      </c>
      <c r="B18" s="53" t="inlineStr">
        <is>
          <t>Strehlow &amp; Savage 1974. DOI: 10.13182/NT74-A16282. TABLE II</t>
        </is>
      </c>
      <c r="C18" s="53" t="inlineStr">
        <is>
          <t>D₂</t>
        </is>
      </c>
      <c r="D18" s="53" t="inlineStr">
        <is>
          <t>Strehlow 1974</t>
        </is>
      </c>
      <c r="E18" s="54" t="n">
        <v>1.414214</v>
      </c>
      <c r="F18" s="53" t="inlineStr">
        <is>
          <t>D₂ → H₂: ×√2 = 1.4142</t>
        </is>
      </c>
      <c r="G18" s="53" t="inlineStr">
        <is>
          <t>No (&lt; 15% at 600-1200K)</t>
        </is>
      </c>
      <c r="H18" s="43" t="inlineStr">
        <is>
          <t>—</t>
        </is>
      </c>
      <c r="I18" s="43" t="inlineStr">
        <is>
          <t>—</t>
        </is>
      </c>
      <c r="J18" s="43" t="inlineStr">
        <is>
          <t>—</t>
        </is>
      </c>
      <c r="K18" s="43" t="inlineStr">
        <is>
          <t>—</t>
        </is>
      </c>
      <c r="L18" s="43" t="inlineStr">
        <is>
          <t>—</t>
        </is>
      </c>
      <c r="M18" s="43" t="inlineStr">
        <is>
          <t>—</t>
        </is>
      </c>
      <c r="N18" s="55" t="n">
        <v>3.971111683143651e-10</v>
      </c>
      <c r="O18" s="43" t="inlineStr">
        <is>
          <t>—</t>
        </is>
      </c>
      <c r="P18" s="43" t="inlineStr">
        <is>
          <t>—</t>
        </is>
      </c>
      <c r="Q18" s="54" t="n">
        <v>842</v>
      </c>
      <c r="R18" s="54" t="n">
        <v>873</v>
      </c>
      <c r="S18" s="54" t="n">
        <v>973</v>
      </c>
      <c r="T18" s="58" t="n">
        <v>0.0009</v>
      </c>
      <c r="U18" s="43" t="inlineStr">
        <is>
          <t>—</t>
        </is>
      </c>
      <c r="V18" s="57" t="inlineStr">
        <is>
          <t>Pressure dependence exponent n = [0.50, 0.54]. Activation energy range: [17, 18] kcal/mol = [71.128, 75.312] kJ/mol.</t>
        </is>
      </c>
    </row>
    <row r="19" ht="16" customHeight="1">
      <c r="A19" s="232" t="inlineStr">
        <is>
          <t>Type304L_SS_unoxidized_Strehlow1974_tableII_970K</t>
        </is>
      </c>
      <c r="B19" s="232" t="inlineStr">
        <is>
          <t>Strehlow &amp; Savage 1974. DOI: 10.13182/NT74-A16282. TABLE II</t>
        </is>
      </c>
      <c r="C19" s="232" t="inlineStr">
        <is>
          <t>D₂</t>
        </is>
      </c>
      <c r="D19" s="232" t="inlineStr">
        <is>
          <t>Strehlow 1974</t>
        </is>
      </c>
      <c r="E19" s="233" t="n">
        <v>1.414214</v>
      </c>
      <c r="F19" s="232" t="inlineStr">
        <is>
          <t>D₂ → H₂: ×√2 = 1.4142</t>
        </is>
      </c>
      <c r="G19" s="232" t="inlineStr">
        <is>
          <t>No (&lt; 15% at 600-1200K)</t>
        </is>
      </c>
      <c r="H19" s="43" t="inlineStr">
        <is>
          <t>—</t>
        </is>
      </c>
      <c r="I19" s="43" t="inlineStr">
        <is>
          <t>—</t>
        </is>
      </c>
      <c r="J19" s="43" t="inlineStr">
        <is>
          <t>—</t>
        </is>
      </c>
      <c r="K19" s="43" t="inlineStr">
        <is>
          <t>—</t>
        </is>
      </c>
      <c r="L19" s="43" t="inlineStr">
        <is>
          <t>—</t>
        </is>
      </c>
      <c r="M19" s="43" t="inlineStr">
        <is>
          <t>—</t>
        </is>
      </c>
      <c r="N19" s="190" t="n">
        <v>3.382798841196444e-10</v>
      </c>
      <c r="O19" s="43" t="inlineStr">
        <is>
          <t>—</t>
        </is>
      </c>
      <c r="P19" s="43" t="inlineStr">
        <is>
          <t>—</t>
        </is>
      </c>
      <c r="Q19" s="233" t="n">
        <v>970</v>
      </c>
      <c r="R19" s="43" t="inlineStr">
        <is>
          <t>—</t>
        </is>
      </c>
      <c r="S19" s="43" t="inlineStr">
        <is>
          <t>—</t>
        </is>
      </c>
      <c r="T19" s="234" t="n">
        <v>0.0009</v>
      </c>
      <c r="U19" s="43" t="inlineStr">
        <is>
          <t>—</t>
        </is>
      </c>
      <c r="V19" s="52" t="inlineStr">
        <is>
          <t>Uncertainty on Phi_ref not available.</t>
        </is>
      </c>
    </row>
    <row r="20" ht="16" customHeight="1">
      <c r="A20" s="53" t="inlineStr">
        <is>
          <t>Type304L_SS_unoxidized_Strehlow1974_tableII_1058K</t>
        </is>
      </c>
      <c r="B20" s="53" t="inlineStr">
        <is>
          <t>Strehlow &amp; Savage 1974. DOI: 10.13182/NT74-A16282. TABLE II</t>
        </is>
      </c>
      <c r="C20" s="53" t="inlineStr">
        <is>
          <t>D₂</t>
        </is>
      </c>
      <c r="D20" s="53" t="inlineStr">
        <is>
          <t>Strehlow 1974</t>
        </is>
      </c>
      <c r="E20" s="54" t="n">
        <v>1.414214</v>
      </c>
      <c r="F20" s="53" t="inlineStr">
        <is>
          <t>D₂ → H₂: ×√2 = 1.4142</t>
        </is>
      </c>
      <c r="G20" s="53" t="inlineStr">
        <is>
          <t>No (&lt; 15% at 600-1200K)</t>
        </is>
      </c>
      <c r="H20" s="43" t="inlineStr">
        <is>
          <t>—</t>
        </is>
      </c>
      <c r="I20" s="43" t="inlineStr">
        <is>
          <t>—</t>
        </is>
      </c>
      <c r="J20" s="43" t="inlineStr">
        <is>
          <t>—</t>
        </is>
      </c>
      <c r="K20" s="43" t="inlineStr">
        <is>
          <t>—</t>
        </is>
      </c>
      <c r="L20" s="43" t="inlineStr">
        <is>
          <t>—</t>
        </is>
      </c>
      <c r="M20" s="43" t="inlineStr">
        <is>
          <t>—</t>
        </is>
      </c>
      <c r="N20" s="55" t="n">
        <v>3.382798841196444e-10</v>
      </c>
      <c r="O20" s="43" t="inlineStr">
        <is>
          <t>—</t>
        </is>
      </c>
      <c r="P20" s="43" t="inlineStr">
        <is>
          <t>—</t>
        </is>
      </c>
      <c r="Q20" s="54" t="n">
        <v>1058</v>
      </c>
      <c r="R20" s="43" t="inlineStr">
        <is>
          <t>—</t>
        </is>
      </c>
      <c r="S20" s="43" t="inlineStr">
        <is>
          <t>—</t>
        </is>
      </c>
      <c r="T20" s="58" t="n">
        <v>0.0009</v>
      </c>
      <c r="U20" s="43" t="inlineStr">
        <is>
          <t>—</t>
        </is>
      </c>
      <c r="V20" s="57" t="inlineStr">
        <is>
          <t>Pressure dependence exponent n = [0.65, 0.75]. Uncertainty = (-0.4, +0.4) × 1.04e-7.</t>
        </is>
      </c>
    </row>
    <row r="21" ht="16" customHeight="1">
      <c r="A21" s="232" t="inlineStr">
        <is>
          <t>Type304L_SS_oxidized_Strehlow1974_tableII_970K</t>
        </is>
      </c>
      <c r="B21" s="232" t="inlineStr">
        <is>
          <t>Strehlow &amp; Savage 1974. DOI: 10.13182/NT74-A16282. TABLE II</t>
        </is>
      </c>
      <c r="C21" s="232" t="inlineStr">
        <is>
          <t>D₂</t>
        </is>
      </c>
      <c r="D21" s="232" t="inlineStr">
        <is>
          <t>Strehlow 1974</t>
        </is>
      </c>
      <c r="E21" s="233" t="n">
        <v>1.414214</v>
      </c>
      <c r="F21" s="232" t="inlineStr">
        <is>
          <t>D₂ → H₂: ×√2 = 1.4142</t>
        </is>
      </c>
      <c r="G21" s="232" t="inlineStr">
        <is>
          <t>No (&lt; 15% at 600-1200K)</t>
        </is>
      </c>
      <c r="H21" s="43" t="inlineStr">
        <is>
          <t>—</t>
        </is>
      </c>
      <c r="I21" s="43" t="inlineStr">
        <is>
          <t>—</t>
        </is>
      </c>
      <c r="J21" s="43" t="inlineStr">
        <is>
          <t>—</t>
        </is>
      </c>
      <c r="K21" s="43" t="inlineStr">
        <is>
          <t>—</t>
        </is>
      </c>
      <c r="L21" s="43" t="inlineStr">
        <is>
          <t>—</t>
        </is>
      </c>
      <c r="M21" s="43" t="inlineStr">
        <is>
          <t>—</t>
        </is>
      </c>
      <c r="N21" s="190" t="n">
        <v>3.82403347265685e-11</v>
      </c>
      <c r="O21" s="43" t="inlineStr">
        <is>
          <t>—</t>
        </is>
      </c>
      <c r="P21" s="43" t="inlineStr">
        <is>
          <t>—</t>
        </is>
      </c>
      <c r="Q21" s="233" t="n">
        <v>970</v>
      </c>
      <c r="R21" s="43" t="inlineStr">
        <is>
          <t>—</t>
        </is>
      </c>
      <c r="S21" s="43" t="inlineStr">
        <is>
          <t>—</t>
        </is>
      </c>
      <c r="T21" s="234" t="n">
        <v>0.0009</v>
      </c>
      <c r="U21" s="43" t="inlineStr">
        <is>
          <t>—</t>
        </is>
      </c>
      <c r="V21" s="52" t="inlineStr">
        <is>
          <t>Pressure dependence exponent n = [0.49, 0.59]. Uncertainty = (-0.5, +0.5) × 1.04e-7.</t>
        </is>
      </c>
    </row>
    <row r="22" ht="16" customHeight="1">
      <c r="A22" s="53" t="inlineStr">
        <is>
          <t>Type406L_SS_oxidized_Strehlow1974_tableII_915K</t>
        </is>
      </c>
      <c r="B22" s="53" t="inlineStr">
        <is>
          <t>Strehlow &amp; Savage 1974. DOI: 10.13182/NT74-A16282. TABLE II</t>
        </is>
      </c>
      <c r="C22" s="53" t="inlineStr">
        <is>
          <t>D₂</t>
        </is>
      </c>
      <c r="D22" s="53" t="inlineStr">
        <is>
          <t>Strehlow 1974</t>
        </is>
      </c>
      <c r="E22" s="54" t="n">
        <v>1.414214</v>
      </c>
      <c r="F22" s="53" t="inlineStr">
        <is>
          <t>D₂ → H₂: ×√2 = 1.4142</t>
        </is>
      </c>
      <c r="G22" s="53" t="inlineStr">
        <is>
          <t>No (&lt; 15% at 600-1200K)</t>
        </is>
      </c>
      <c r="H22" s="43" t="inlineStr">
        <is>
          <t>—</t>
        </is>
      </c>
      <c r="I22" s="43" t="inlineStr">
        <is>
          <t>—</t>
        </is>
      </c>
      <c r="J22" s="43" t="inlineStr">
        <is>
          <t>—</t>
        </is>
      </c>
      <c r="K22" s="43" t="inlineStr">
        <is>
          <t>—</t>
        </is>
      </c>
      <c r="L22" s="43" t="inlineStr">
        <is>
          <t>—</t>
        </is>
      </c>
      <c r="M22" s="43" t="inlineStr">
        <is>
          <t>—</t>
        </is>
      </c>
      <c r="N22" s="55" t="n">
        <v>2.35325136778883e-12</v>
      </c>
      <c r="O22" s="43" t="inlineStr">
        <is>
          <t>—</t>
        </is>
      </c>
      <c r="P22" s="43" t="inlineStr">
        <is>
          <t>—</t>
        </is>
      </c>
      <c r="Q22" s="54" t="n">
        <v>915</v>
      </c>
      <c r="R22" s="43" t="inlineStr">
        <is>
          <t>—</t>
        </is>
      </c>
      <c r="S22" s="43" t="inlineStr">
        <is>
          <t>—</t>
        </is>
      </c>
      <c r="T22" s="58" t="n">
        <v>0.0009</v>
      </c>
      <c r="U22" s="43" t="inlineStr">
        <is>
          <t>—</t>
        </is>
      </c>
      <c r="V22" s="57" t="inlineStr">
        <is>
          <t>Pressure dependence exponent n = [0.4, 0.6]. Uncertainty = (-0.3, +0.3) × 1.04e-7.</t>
        </is>
      </c>
    </row>
    <row r="23" ht="16" customHeight="1">
      <c r="A23" s="232" t="inlineStr">
        <is>
          <t>Incoloy800_unoxidized_Strehlow1974_tableII_922K</t>
        </is>
      </c>
      <c r="B23" s="232" t="inlineStr">
        <is>
          <t>Strehlow &amp; Savage 1974. DOI: 10.13182/NT74-A16282. TABLE II</t>
        </is>
      </c>
      <c r="C23" s="232" t="inlineStr">
        <is>
          <t>D₂</t>
        </is>
      </c>
      <c r="D23" s="232" t="inlineStr">
        <is>
          <t>Strehlow 1974</t>
        </is>
      </c>
      <c r="E23" s="233" t="n">
        <v>1.414214</v>
      </c>
      <c r="F23" s="232" t="inlineStr">
        <is>
          <t>D₂ → H₂: ×√2 = 1.4142</t>
        </is>
      </c>
      <c r="G23" s="232" t="inlineStr">
        <is>
          <t>No (&lt; 15% at 600-1200K)</t>
        </is>
      </c>
      <c r="H23" s="43" t="inlineStr">
        <is>
          <t>—</t>
        </is>
      </c>
      <c r="I23" s="43" t="inlineStr">
        <is>
          <t>—</t>
        </is>
      </c>
      <c r="J23" s="43" t="inlineStr">
        <is>
          <t>—</t>
        </is>
      </c>
      <c r="K23" s="43" t="inlineStr">
        <is>
          <t>—</t>
        </is>
      </c>
      <c r="L23" s="43" t="inlineStr">
        <is>
          <t>—</t>
        </is>
      </c>
      <c r="M23" s="43" t="inlineStr">
        <is>
          <t>—</t>
        </is>
      </c>
      <c r="N23" s="190" t="n">
        <v>2.35325136778883e-10</v>
      </c>
      <c r="O23" s="43" t="inlineStr">
        <is>
          <t>—</t>
        </is>
      </c>
      <c r="P23" s="43" t="inlineStr">
        <is>
          <t>—</t>
        </is>
      </c>
      <c r="Q23" s="233" t="n">
        <v>922</v>
      </c>
      <c r="R23" s="43" t="inlineStr">
        <is>
          <t>—</t>
        </is>
      </c>
      <c r="S23" s="43" t="inlineStr">
        <is>
          <t>—</t>
        </is>
      </c>
      <c r="T23" s="234" t="n">
        <v>0.0009</v>
      </c>
      <c r="U23" s="43" t="inlineStr">
        <is>
          <t>—</t>
        </is>
      </c>
      <c r="V23" s="52" t="inlineStr">
        <is>
          <t>Pressure dependence exponent n = [0.56, 0.65]. Uncertainty = (-0.2, +0.2) × 1.04e-7.</t>
        </is>
      </c>
    </row>
    <row r="24" ht="16" customHeight="1">
      <c r="A24" s="53" t="inlineStr">
        <is>
          <t>Incoloy800_oxidized_Strehlow1974_tableII_922K</t>
        </is>
      </c>
      <c r="B24" s="53" t="inlineStr">
        <is>
          <t>Strehlow &amp; Savage 1974. DOI: 10.13182/NT74-A16282. TABLE II</t>
        </is>
      </c>
      <c r="C24" s="53" t="inlineStr">
        <is>
          <t>D₂</t>
        </is>
      </c>
      <c r="D24" s="53" t="inlineStr">
        <is>
          <t>Strehlow 1974</t>
        </is>
      </c>
      <c r="E24" s="54" t="n">
        <v>1.414214</v>
      </c>
      <c r="F24" s="53" t="inlineStr">
        <is>
          <t>D₂ → H₂: ×√2 = 1.4142</t>
        </is>
      </c>
      <c r="G24" s="53" t="inlineStr">
        <is>
          <t>No (&lt; 15% at 600-1200K)</t>
        </is>
      </c>
      <c r="H24" s="43" t="inlineStr">
        <is>
          <t>—</t>
        </is>
      </c>
      <c r="I24" s="43" t="inlineStr">
        <is>
          <t>—</t>
        </is>
      </c>
      <c r="J24" s="43" t="inlineStr">
        <is>
          <t>—</t>
        </is>
      </c>
      <c r="K24" s="43" t="inlineStr">
        <is>
          <t>—</t>
        </is>
      </c>
      <c r="L24" s="43" t="inlineStr">
        <is>
          <t>—</t>
        </is>
      </c>
      <c r="M24" s="43" t="inlineStr">
        <is>
          <t>—</t>
        </is>
      </c>
      <c r="N24" s="55" t="n">
        <v>6.912675892879689e-13</v>
      </c>
      <c r="O24" s="43" t="inlineStr">
        <is>
          <t>—</t>
        </is>
      </c>
      <c r="P24" s="43" t="inlineStr">
        <is>
          <t>—</t>
        </is>
      </c>
      <c r="Q24" s="54" t="n">
        <v>922</v>
      </c>
      <c r="R24" s="43" t="inlineStr">
        <is>
          <t>—</t>
        </is>
      </c>
      <c r="S24" s="43" t="inlineStr">
        <is>
          <t>—</t>
        </is>
      </c>
      <c r="T24" s="58" t="n">
        <v>0.0009</v>
      </c>
      <c r="U24" s="43" t="inlineStr">
        <is>
          <t>—</t>
        </is>
      </c>
      <c r="V24" s="57" t="inlineStr">
        <is>
          <t>Pressure dependence exponent n = [0.91, 1.10]. Uncertainty = (-0.4, +0.4) × 1.04e-7.</t>
        </is>
      </c>
    </row>
    <row r="25" ht="16" customHeight="1">
      <c r="A25" s="232" t="inlineStr">
        <is>
          <t>Incoloy800_oxidized_Strehlow1974_tableII_804K</t>
        </is>
      </c>
      <c r="B25" s="232" t="inlineStr">
        <is>
          <t>Strehlow &amp; Savage 1974. DOI: 10.13182/NT74-A16282. TABLE II</t>
        </is>
      </c>
      <c r="C25" s="232" t="inlineStr">
        <is>
          <t>D₂</t>
        </is>
      </c>
      <c r="D25" s="232" t="inlineStr">
        <is>
          <t>Strehlow 1974</t>
        </is>
      </c>
      <c r="E25" s="233" t="n">
        <v>1.414214</v>
      </c>
      <c r="F25" s="232" t="inlineStr">
        <is>
          <t>D₂ → H₂: ×√2 = 1.4142</t>
        </is>
      </c>
      <c r="G25" s="232" t="inlineStr">
        <is>
          <t>No (&lt; 15% at 600-1200K)</t>
        </is>
      </c>
      <c r="H25" s="43" t="inlineStr">
        <is>
          <t>—</t>
        </is>
      </c>
      <c r="I25" s="43" t="inlineStr">
        <is>
          <t>—</t>
        </is>
      </c>
      <c r="J25" s="43" t="inlineStr">
        <is>
          <t>—</t>
        </is>
      </c>
      <c r="K25" s="43" t="inlineStr">
        <is>
          <t>—</t>
        </is>
      </c>
      <c r="L25" s="43" t="inlineStr">
        <is>
          <t>—</t>
        </is>
      </c>
      <c r="M25" s="43" t="inlineStr">
        <is>
          <t>—</t>
        </is>
      </c>
      <c r="N25" s="190" t="n">
        <v>9.265927260668519e-11</v>
      </c>
      <c r="O25" s="43" t="inlineStr">
        <is>
          <t>—</t>
        </is>
      </c>
      <c r="P25" s="43" t="inlineStr">
        <is>
          <t>—</t>
        </is>
      </c>
      <c r="Q25" s="233" t="n">
        <v>804</v>
      </c>
      <c r="R25" s="43" t="inlineStr">
        <is>
          <t>—</t>
        </is>
      </c>
      <c r="S25" s="43" t="inlineStr">
        <is>
          <t>—</t>
        </is>
      </c>
      <c r="T25" s="234" t="n">
        <v>0.0009</v>
      </c>
      <c r="U25" s="43" t="inlineStr">
        <is>
          <t>—</t>
        </is>
      </c>
      <c r="V25" s="52" t="inlineStr">
        <is>
          <t>Pressure dependence exponent n = [0.49, 0.53]. Uncertainty = (-0.4, +0.4) × 1.04e-7.</t>
        </is>
      </c>
    </row>
    <row r="26" ht="16" customHeight="1">
      <c r="A26" s="53" t="inlineStr">
        <is>
          <t>CroloyT9_oxidized_Strehlow1974_tableII_846K</t>
        </is>
      </c>
      <c r="B26" s="53" t="inlineStr">
        <is>
          <t>Strehlow &amp; Savage 1974. DOI: 10.13182/NT74-A16282. TABLE II</t>
        </is>
      </c>
      <c r="C26" s="53" t="inlineStr">
        <is>
          <t>D₂</t>
        </is>
      </c>
      <c r="D26" s="53" t="inlineStr">
        <is>
          <t>Strehlow 1974</t>
        </is>
      </c>
      <c r="E26" s="54" t="n">
        <v>1.414214</v>
      </c>
      <c r="F26" s="53" t="inlineStr">
        <is>
          <t>D₂ → H₂: ×√2 = 1.4142</t>
        </is>
      </c>
      <c r="G26" s="53" t="inlineStr">
        <is>
          <t>No (&lt; 15% at 600-1200K)</t>
        </is>
      </c>
      <c r="H26" s="43" t="inlineStr">
        <is>
          <t>—</t>
        </is>
      </c>
      <c r="I26" s="43" t="inlineStr">
        <is>
          <t>—</t>
        </is>
      </c>
      <c r="J26" s="43" t="inlineStr">
        <is>
          <t>—</t>
        </is>
      </c>
      <c r="K26" s="43" t="inlineStr">
        <is>
          <t>—</t>
        </is>
      </c>
      <c r="L26" s="43" t="inlineStr">
        <is>
          <t>—</t>
        </is>
      </c>
      <c r="M26" s="43" t="inlineStr">
        <is>
          <t>—</t>
        </is>
      </c>
      <c r="N26" s="55" t="n">
        <v>9.707161892128925e-12</v>
      </c>
      <c r="O26" s="43" t="inlineStr">
        <is>
          <t>—</t>
        </is>
      </c>
      <c r="P26" s="43" t="inlineStr">
        <is>
          <t>—</t>
        </is>
      </c>
      <c r="Q26" s="54" t="n">
        <v>846</v>
      </c>
      <c r="R26" s="43" t="inlineStr">
        <is>
          <t>—</t>
        </is>
      </c>
      <c r="S26" s="43" t="inlineStr">
        <is>
          <t>—</t>
        </is>
      </c>
      <c r="T26" s="58" t="n">
        <v>0.0009</v>
      </c>
      <c r="U26" s="43" t="inlineStr">
        <is>
          <t>—</t>
        </is>
      </c>
      <c r="V26" s="57" t="inlineStr">
        <is>
          <t>Pressure dependence exponent n = [0.63, 0.73]. Uncertainty = (-0.5, +0.5) × 1.04e-7.</t>
        </is>
      </c>
    </row>
    <row r="27" ht="16" customHeight="1">
      <c r="A27" s="232" t="inlineStr">
        <is>
          <t>CroloyT9_oxidized_Strehlow1974_tableII_843K</t>
        </is>
      </c>
      <c r="B27" s="232" t="inlineStr">
        <is>
          <t>Strehlow &amp; Savage 1974. DOI: 10.13182/NT74-A16282. TABLE II</t>
        </is>
      </c>
      <c r="C27" s="232" t="inlineStr">
        <is>
          <t>D₂</t>
        </is>
      </c>
      <c r="D27" s="232" t="inlineStr">
        <is>
          <t>Strehlow 1974</t>
        </is>
      </c>
      <c r="E27" s="233" t="n">
        <v>1.414214</v>
      </c>
      <c r="F27" s="232" t="inlineStr">
        <is>
          <t>D₂ → H₂: ×√2 = 1.4142</t>
        </is>
      </c>
      <c r="G27" s="232" t="inlineStr">
        <is>
          <t>No (&lt; 15% at 600-1200K)</t>
        </is>
      </c>
      <c r="H27" s="43" t="inlineStr">
        <is>
          <t>—</t>
        </is>
      </c>
      <c r="I27" s="43" t="inlineStr">
        <is>
          <t>—</t>
        </is>
      </c>
      <c r="J27" s="43" t="inlineStr">
        <is>
          <t>—</t>
        </is>
      </c>
      <c r="K27" s="43" t="inlineStr">
        <is>
          <t>—</t>
        </is>
      </c>
      <c r="L27" s="43" t="inlineStr">
        <is>
          <t>—</t>
        </is>
      </c>
      <c r="M27" s="43" t="inlineStr">
        <is>
          <t>—</t>
        </is>
      </c>
      <c r="N27" s="190" t="n">
        <v>8.383457997747708e-13</v>
      </c>
      <c r="O27" s="43" t="inlineStr">
        <is>
          <t>—</t>
        </is>
      </c>
      <c r="P27" s="43" t="inlineStr">
        <is>
          <t>—</t>
        </is>
      </c>
      <c r="Q27" s="233" t="n">
        <v>843</v>
      </c>
      <c r="R27" s="43" t="inlineStr">
        <is>
          <t>—</t>
        </is>
      </c>
      <c r="S27" s="43" t="inlineStr">
        <is>
          <t>—</t>
        </is>
      </c>
      <c r="T27" s="234" t="n">
        <v>0.0009</v>
      </c>
      <c r="U27" s="43" t="inlineStr">
        <is>
          <t>—</t>
        </is>
      </c>
      <c r="V27" s="52" t="inlineStr">
        <is>
          <t>Pressure dependence exponent n = [0.83, 0.88]. Uncertainty = (-0.4, +0.4) × 1.04e-7.</t>
        </is>
      </c>
    </row>
    <row r="28" ht="16" customHeight="1">
      <c r="A28" s="53" t="inlineStr">
        <is>
          <t>CroloyT22_unoxidized_Strehlow1974_tableII_558K</t>
        </is>
      </c>
      <c r="B28" s="53" t="inlineStr">
        <is>
          <t>Strehlow &amp; Savage 1974. DOI: 10.13182/NT74-A16282. TABLE II</t>
        </is>
      </c>
      <c r="C28" s="53" t="inlineStr">
        <is>
          <t>D₂</t>
        </is>
      </c>
      <c r="D28" s="53" t="inlineStr">
        <is>
          <t>Strehlow 1974</t>
        </is>
      </c>
      <c r="E28" s="54" t="n">
        <v>1.414214</v>
      </c>
      <c r="F28" s="53" t="inlineStr">
        <is>
          <t>D₂ → H₂: ×√2 = 1.4142</t>
        </is>
      </c>
      <c r="G28" s="53" t="inlineStr">
        <is>
          <t>No (&lt; 15% at 600-1200K)</t>
        </is>
      </c>
      <c r="H28" s="43" t="inlineStr">
        <is>
          <t>—</t>
        </is>
      </c>
      <c r="I28" s="43" t="inlineStr">
        <is>
          <t>—</t>
        </is>
      </c>
      <c r="J28" s="43" t="inlineStr">
        <is>
          <t>—</t>
        </is>
      </c>
      <c r="K28" s="43" t="inlineStr">
        <is>
          <t>—</t>
        </is>
      </c>
      <c r="L28" s="43" t="inlineStr">
        <is>
          <t>—</t>
        </is>
      </c>
      <c r="M28" s="43" t="inlineStr">
        <is>
          <t>—</t>
        </is>
      </c>
      <c r="N28" s="55" t="n">
        <v>2.647407788762434e-11</v>
      </c>
      <c r="O28" s="43" t="inlineStr">
        <is>
          <t>—</t>
        </is>
      </c>
      <c r="P28" s="43" t="inlineStr">
        <is>
          <t>—</t>
        </is>
      </c>
      <c r="Q28" s="54" t="n">
        <v>558</v>
      </c>
      <c r="R28" s="43" t="inlineStr">
        <is>
          <t>—</t>
        </is>
      </c>
      <c r="S28" s="43" t="inlineStr">
        <is>
          <t>—</t>
        </is>
      </c>
      <c r="T28" s="58" t="n">
        <v>0.0009</v>
      </c>
      <c r="U28" s="43" t="inlineStr">
        <is>
          <t>—</t>
        </is>
      </c>
      <c r="V28" s="57" t="inlineStr">
        <is>
          <t>Pressure dependence exponent n = [0.66, 0.68]. Uncertainty = (-0.1, +0.1) × 1.04e-7.</t>
        </is>
      </c>
    </row>
    <row r="29" ht="16" customHeight="1">
      <c r="A29" s="232" t="inlineStr">
        <is>
          <t>CroloyT22_unoxidized_Strehlow1974_tableII_853K</t>
        </is>
      </c>
      <c r="B29" s="232" t="inlineStr">
        <is>
          <t>Strehlow &amp; Savage 1974. DOI: 10.13182/NT74-A16282. TABLE II</t>
        </is>
      </c>
      <c r="C29" s="232" t="inlineStr">
        <is>
          <t>D₂</t>
        </is>
      </c>
      <c r="D29" s="232" t="inlineStr">
        <is>
          <t>Strehlow 1974</t>
        </is>
      </c>
      <c r="E29" s="233" t="n">
        <v>1.414214</v>
      </c>
      <c r="F29" s="232" t="inlineStr">
        <is>
          <t>D₂ → H₂: ×√2 = 1.4142</t>
        </is>
      </c>
      <c r="G29" s="232" t="inlineStr">
        <is>
          <t>No (&lt; 15% at 600-1200K)</t>
        </is>
      </c>
      <c r="H29" s="43" t="inlineStr">
        <is>
          <t>—</t>
        </is>
      </c>
      <c r="I29" s="43" t="inlineStr">
        <is>
          <t>—</t>
        </is>
      </c>
      <c r="J29" s="43" t="inlineStr">
        <is>
          <t>—</t>
        </is>
      </c>
      <c r="K29" s="43" t="inlineStr">
        <is>
          <t>—</t>
        </is>
      </c>
      <c r="L29" s="43" t="inlineStr">
        <is>
          <t>—</t>
        </is>
      </c>
      <c r="M29" s="43" t="inlineStr">
        <is>
          <t>—</t>
        </is>
      </c>
      <c r="N29" s="190" t="n">
        <v>1.176625683894415e-09</v>
      </c>
      <c r="O29" s="43" t="inlineStr">
        <is>
          <t>—</t>
        </is>
      </c>
      <c r="P29" s="43" t="inlineStr">
        <is>
          <t>—</t>
        </is>
      </c>
      <c r="Q29" s="233" t="n">
        <v>853</v>
      </c>
      <c r="R29" s="43" t="inlineStr">
        <is>
          <t>—</t>
        </is>
      </c>
      <c r="S29" s="43" t="inlineStr">
        <is>
          <t>—</t>
        </is>
      </c>
      <c r="T29" s="234" t="n">
        <v>0.0009</v>
      </c>
      <c r="U29" s="43" t="inlineStr">
        <is>
          <t>—</t>
        </is>
      </c>
      <c r="V29" s="52" t="inlineStr">
        <is>
          <t>Pressure dependence exponent n = [0.55, 0.57]. Uncertainty = (-0.1, +0.1) × 1.04e-7.</t>
        </is>
      </c>
    </row>
    <row r="30" ht="16" customHeight="1">
      <c r="A30" s="53" t="inlineStr">
        <is>
          <t>CroloyT22_oxidized_Strehlow1974_tableII_853K</t>
        </is>
      </c>
      <c r="B30" s="53" t="inlineStr">
        <is>
          <t>Strehlow &amp; Savage 1974. DOI: 10.13182/NT74-A16282. TABLE II</t>
        </is>
      </c>
      <c r="C30" s="53" t="inlineStr">
        <is>
          <t>D₂</t>
        </is>
      </c>
      <c r="D30" s="53" t="inlineStr">
        <is>
          <t>Strehlow 1974</t>
        </is>
      </c>
      <c r="E30" s="54" t="n">
        <v>1.414214</v>
      </c>
      <c r="F30" s="53" t="inlineStr">
        <is>
          <t>D₂ → H₂: ×√2 = 1.4142</t>
        </is>
      </c>
      <c r="G30" s="53" t="inlineStr">
        <is>
          <t>No (&lt; 15% at 600-1200K)</t>
        </is>
      </c>
      <c r="H30" s="43" t="inlineStr">
        <is>
          <t>—</t>
        </is>
      </c>
      <c r="I30" s="43" t="inlineStr">
        <is>
          <t>—</t>
        </is>
      </c>
      <c r="J30" s="43" t="inlineStr">
        <is>
          <t>—</t>
        </is>
      </c>
      <c r="K30" s="43" t="inlineStr">
        <is>
          <t>—</t>
        </is>
      </c>
      <c r="L30" s="43" t="inlineStr">
        <is>
          <t>—</t>
        </is>
      </c>
      <c r="M30" s="43" t="inlineStr">
        <is>
          <t>—</t>
        </is>
      </c>
      <c r="N30" s="55" t="n">
        <v>8.824692629208114e-10</v>
      </c>
      <c r="O30" s="43" t="inlineStr">
        <is>
          <t>—</t>
        </is>
      </c>
      <c r="P30" s="43" t="inlineStr">
        <is>
          <t>—</t>
        </is>
      </c>
      <c r="Q30" s="54" t="n">
        <v>853</v>
      </c>
      <c r="R30" s="43" t="inlineStr">
        <is>
          <t>—</t>
        </is>
      </c>
      <c r="S30" s="43" t="inlineStr">
        <is>
          <t>—</t>
        </is>
      </c>
      <c r="T30" s="58" t="n">
        <v>0.0009</v>
      </c>
      <c r="U30" s="43" t="inlineStr">
        <is>
          <t>—</t>
        </is>
      </c>
      <c r="V30" s="57" t="inlineStr">
        <is>
          <t>Pressure dependence exponent n = [0.57, 0.61]. Uncertainty = (-0.1, +0.1) × 1.04e-7.</t>
        </is>
      </c>
    </row>
    <row r="31" ht="16" customHeight="1">
      <c r="A31" s="232" t="inlineStr">
        <is>
          <t>Incoloy800_unoxidized_Rohrig1975_1173K</t>
        </is>
      </c>
      <c r="B31" s="232" t="inlineStr">
        <is>
          <t>Rohrig et al. 1975</t>
        </is>
      </c>
      <c r="C31" s="232" t="inlineStr">
        <is>
          <t>D₂</t>
        </is>
      </c>
      <c r="D31" s="232" t="inlineStr">
        <is>
          <t>Rohrig 1975</t>
        </is>
      </c>
      <c r="E31" s="233" t="n">
        <v>1.414214</v>
      </c>
      <c r="F31" s="232" t="inlineStr">
        <is>
          <t>D₂ → H₂: ×√2 = 1.4142</t>
        </is>
      </c>
      <c r="G31" s="232" t="inlineStr">
        <is>
          <t>No (&lt; 15% at 600-1200K)</t>
        </is>
      </c>
      <c r="H31" s="43" t="inlineStr">
        <is>
          <t>—</t>
        </is>
      </c>
      <c r="I31" s="43" t="inlineStr">
        <is>
          <t>—</t>
        </is>
      </c>
      <c r="J31" s="43" t="inlineStr">
        <is>
          <t>—</t>
        </is>
      </c>
      <c r="K31" s="43" t="inlineStr">
        <is>
          <t>—</t>
        </is>
      </c>
      <c r="L31" s="43" t="inlineStr">
        <is>
          <t>—</t>
        </is>
      </c>
      <c r="M31" s="43" t="inlineStr">
        <is>
          <t>—</t>
        </is>
      </c>
      <c r="N31" s="190" t="n">
        <v>3.389869909008309e-10</v>
      </c>
      <c r="O31" s="50" t="n">
        <v>74056</v>
      </c>
      <c r="P31" s="190" t="n">
        <v>6.281229537280102e-07</v>
      </c>
      <c r="Q31" s="233" t="n">
        <v>1173</v>
      </c>
      <c r="R31" s="43" t="inlineStr">
        <is>
          <t>—</t>
        </is>
      </c>
      <c r="S31" s="43" t="inlineStr">
        <is>
          <t>—</t>
        </is>
      </c>
      <c r="T31" s="233" t="n">
        <v>0.0033</v>
      </c>
      <c r="U31" s="43" t="inlineStr">
        <is>
          <t>—</t>
        </is>
      </c>
      <c r="V31" s="52" t="inlineStr">
        <is>
          <t>nan</t>
        </is>
      </c>
    </row>
    <row r="32" ht="16" customHeight="1">
      <c r="A32" s="53" t="inlineStr">
        <is>
          <t>Incoloy800_oxidized_Rohrig1975_1173K_v1</t>
        </is>
      </c>
      <c r="B32" s="53" t="inlineStr">
        <is>
          <t>Rohrig et al. 1975</t>
        </is>
      </c>
      <c r="C32" s="53" t="inlineStr">
        <is>
          <t>D₂</t>
        </is>
      </c>
      <c r="D32" s="53" t="inlineStr">
        <is>
          <t>Rohrig 1975</t>
        </is>
      </c>
      <c r="E32" s="54" t="n">
        <v>1.414214</v>
      </c>
      <c r="F32" s="53" t="inlineStr">
        <is>
          <t>D₂ → H₂: ×√2 = 1.4142</t>
        </is>
      </c>
      <c r="G32" s="53" t="inlineStr">
        <is>
          <t>No (&lt; 15% at 600-1200K)</t>
        </is>
      </c>
      <c r="H32" s="43" t="inlineStr">
        <is>
          <t>—</t>
        </is>
      </c>
      <c r="I32" s="43" t="inlineStr">
        <is>
          <t>—</t>
        </is>
      </c>
      <c r="J32" s="43" t="inlineStr">
        <is>
          <t>—</t>
        </is>
      </c>
      <c r="K32" s="43" t="inlineStr">
        <is>
          <t>—</t>
        </is>
      </c>
      <c r="L32" s="43" t="inlineStr">
        <is>
          <t>—</t>
        </is>
      </c>
      <c r="M32" s="43" t="inlineStr">
        <is>
          <t>—</t>
        </is>
      </c>
      <c r="N32" s="55" t="n">
        <v>3.389869909008309e-10</v>
      </c>
      <c r="O32" s="56" t="n">
        <v>74056</v>
      </c>
      <c r="P32" s="55" t="n">
        <v>6.281229537280102e-07</v>
      </c>
      <c r="Q32" s="54" t="n">
        <v>1173</v>
      </c>
      <c r="R32" s="43" t="inlineStr">
        <is>
          <t>—</t>
        </is>
      </c>
      <c r="S32" s="43" t="inlineStr">
        <is>
          <t>—</t>
        </is>
      </c>
      <c r="T32" s="54" t="n">
        <v>0.0033</v>
      </c>
      <c r="U32" s="43" t="inlineStr">
        <is>
          <t>—</t>
        </is>
      </c>
      <c r="V32" s="57" t="inlineStr">
        <is>
          <t>nan</t>
        </is>
      </c>
    </row>
    <row r="33" ht="16" customHeight="1">
      <c r="A33" s="232" t="inlineStr">
        <is>
          <t>Incoloy800_oxidized_Rohrig1975_1173K_v2</t>
        </is>
      </c>
      <c r="B33" s="232" t="inlineStr">
        <is>
          <t>Rohrig et al. 1975</t>
        </is>
      </c>
      <c r="C33" s="232" t="inlineStr">
        <is>
          <t>D₂</t>
        </is>
      </c>
      <c r="D33" s="232" t="inlineStr">
        <is>
          <t>Rohrig 1975</t>
        </is>
      </c>
      <c r="E33" s="233" t="n">
        <v>1.414214</v>
      </c>
      <c r="F33" s="232" t="inlineStr">
        <is>
          <t>D₂ → H₂: ×√2 = 1.4142</t>
        </is>
      </c>
      <c r="G33" s="232" t="inlineStr">
        <is>
          <t>No (&lt; 15% at 600-1200K)</t>
        </is>
      </c>
      <c r="H33" s="43" t="inlineStr">
        <is>
          <t>—</t>
        </is>
      </c>
      <c r="I33" s="43" t="inlineStr">
        <is>
          <t>—</t>
        </is>
      </c>
      <c r="J33" s="43" t="inlineStr">
        <is>
          <t>—</t>
        </is>
      </c>
      <c r="K33" s="43" t="inlineStr">
        <is>
          <t>—</t>
        </is>
      </c>
      <c r="L33" s="43" t="inlineStr">
        <is>
          <t>—</t>
        </is>
      </c>
      <c r="M33" s="43" t="inlineStr">
        <is>
          <t>—</t>
        </is>
      </c>
      <c r="N33" s="190" t="n">
        <v>7.77676037948965e-10</v>
      </c>
      <c r="O33" s="50" t="n">
        <v>74056</v>
      </c>
      <c r="P33" s="190" t="n">
        <v>1.483510026929377e-06</v>
      </c>
      <c r="Q33" s="233" t="n">
        <v>1173</v>
      </c>
      <c r="R33" s="233" t="n">
        <v>873</v>
      </c>
      <c r="S33" s="233" t="n">
        <v>1223</v>
      </c>
      <c r="T33" s="233" t="n">
        <v>0.0033</v>
      </c>
      <c r="U33" s="43" t="inlineStr">
        <is>
          <t>—</t>
        </is>
      </c>
      <c r="V33" s="52" t="inlineStr">
        <is>
          <t>nan</t>
        </is>
      </c>
    </row>
    <row r="34" ht="16" customHeight="1">
      <c r="A34" s="53" t="inlineStr">
        <is>
          <t>Incoloy600_oxidized_Rohrig1975_1173K</t>
        </is>
      </c>
      <c r="B34" s="53" t="inlineStr">
        <is>
          <t>Rohrig et al. 1975</t>
        </is>
      </c>
      <c r="C34" s="53" t="inlineStr">
        <is>
          <t>D₂</t>
        </is>
      </c>
      <c r="D34" s="53" t="inlineStr">
        <is>
          <t>Rohrig 1975</t>
        </is>
      </c>
      <c r="E34" s="54" t="n">
        <v>1.414214</v>
      </c>
      <c r="F34" s="53" t="inlineStr">
        <is>
          <t>D₂ → H₂: ×√2 = 1.4142</t>
        </is>
      </c>
      <c r="G34" s="53" t="inlineStr">
        <is>
          <t>No (&lt; 15% at 600-1200K)</t>
        </is>
      </c>
      <c r="H34" s="43" t="inlineStr">
        <is>
          <t>—</t>
        </is>
      </c>
      <c r="I34" s="43" t="inlineStr">
        <is>
          <t>—</t>
        </is>
      </c>
      <c r="J34" s="43" t="inlineStr">
        <is>
          <t>—</t>
        </is>
      </c>
      <c r="K34" s="43" t="inlineStr">
        <is>
          <t>—</t>
        </is>
      </c>
      <c r="L34" s="43" t="inlineStr">
        <is>
          <t>—</t>
        </is>
      </c>
      <c r="M34" s="43" t="inlineStr">
        <is>
          <t>—</t>
        </is>
      </c>
      <c r="N34" s="55" t="n">
        <v>9.371993277846502e-10</v>
      </c>
      <c r="O34" s="56" t="n">
        <v>64015.2</v>
      </c>
      <c r="P34" s="55" t="n">
        <v>6.420812415886326e-07</v>
      </c>
      <c r="Q34" s="54" t="n">
        <v>1173</v>
      </c>
      <c r="R34" s="54" t="n">
        <v>973</v>
      </c>
      <c r="S34" s="54" t="n">
        <v>1223</v>
      </c>
      <c r="T34" s="54" t="n">
        <v>0.0033</v>
      </c>
      <c r="U34" s="43" t="inlineStr">
        <is>
          <t>—</t>
        </is>
      </c>
      <c r="V34" s="57" t="inlineStr">
        <is>
          <t>nan</t>
        </is>
      </c>
    </row>
    <row r="35" ht="16" customHeight="1">
      <c r="A35" s="232" t="inlineStr">
        <is>
          <t>304L_SS_Rohrig1975_1173K</t>
        </is>
      </c>
      <c r="B35" s="232" t="inlineStr">
        <is>
          <t>Rohrig et al. 1975</t>
        </is>
      </c>
      <c r="C35" s="232" t="inlineStr">
        <is>
          <t>D₂</t>
        </is>
      </c>
      <c r="D35" s="232" t="inlineStr">
        <is>
          <t>Rohrig 1975</t>
        </is>
      </c>
      <c r="E35" s="233" t="n">
        <v>1.414214</v>
      </c>
      <c r="F35" s="232" t="inlineStr">
        <is>
          <t>D₂ → H₂: ×√2 = 1.4142</t>
        </is>
      </c>
      <c r="G35" s="232" t="inlineStr">
        <is>
          <t>No (&lt; 15% at 600-1200K)</t>
        </is>
      </c>
      <c r="H35" s="43" t="inlineStr">
        <is>
          <t>—</t>
        </is>
      </c>
      <c r="I35" s="43" t="inlineStr">
        <is>
          <t>—</t>
        </is>
      </c>
      <c r="J35" s="43" t="inlineStr">
        <is>
          <t>—</t>
        </is>
      </c>
      <c r="K35" s="43" t="inlineStr">
        <is>
          <t>—</t>
        </is>
      </c>
      <c r="L35" s="43" t="inlineStr">
        <is>
          <t>—</t>
        </is>
      </c>
      <c r="M35" s="43" t="inlineStr">
        <is>
          <t>—</t>
        </is>
      </c>
      <c r="N35" s="190" t="n">
        <v>1.674994543274694e-10</v>
      </c>
      <c r="O35" s="50" t="n">
        <v>73220</v>
      </c>
      <c r="P35" s="190" t="n">
        <v>2.891359628271793e-07</v>
      </c>
      <c r="Q35" s="233" t="n">
        <v>1173</v>
      </c>
      <c r="R35" s="233" t="n">
        <v>973</v>
      </c>
      <c r="S35" s="233" t="n">
        <v>1173</v>
      </c>
      <c r="T35" s="233" t="n">
        <v>0.0033</v>
      </c>
      <c r="U35" s="43" t="inlineStr">
        <is>
          <t>—</t>
        </is>
      </c>
      <c r="V35" s="52" t="inlineStr">
        <is>
          <t>nan</t>
        </is>
      </c>
    </row>
    <row r="36" ht="16" customHeight="1">
      <c r="A36" s="53" t="inlineStr">
        <is>
          <t>X15_CrNiSi_2520_oxidized_Rohrig1975_1173K</t>
        </is>
      </c>
      <c r="B36" s="53" t="inlineStr">
        <is>
          <t>Rohrig et al. 1975</t>
        </is>
      </c>
      <c r="C36" s="53" t="inlineStr">
        <is>
          <t>D₂</t>
        </is>
      </c>
      <c r="D36" s="53" t="inlineStr">
        <is>
          <t>Rohrig 1975</t>
        </is>
      </c>
      <c r="E36" s="54" t="n">
        <v>1.414214</v>
      </c>
      <c r="F36" s="53" t="inlineStr">
        <is>
          <t>D₂ → H₂: ×√2 = 1.4142</t>
        </is>
      </c>
      <c r="G36" s="53" t="inlineStr">
        <is>
          <t>No (&lt; 15% at 600-1200K)</t>
        </is>
      </c>
      <c r="H36" s="43" t="inlineStr">
        <is>
          <t>—</t>
        </is>
      </c>
      <c r="I36" s="43" t="inlineStr">
        <is>
          <t>—</t>
        </is>
      </c>
      <c r="J36" s="43" t="inlineStr">
        <is>
          <t>—</t>
        </is>
      </c>
      <c r="K36" s="43" t="inlineStr">
        <is>
          <t>—</t>
        </is>
      </c>
      <c r="L36" s="43" t="inlineStr">
        <is>
          <t>—</t>
        </is>
      </c>
      <c r="M36" s="43" t="inlineStr">
        <is>
          <t>—</t>
        </is>
      </c>
      <c r="N36" s="55" t="n">
        <v>5.383911031954374e-10</v>
      </c>
      <c r="O36" s="56" t="n">
        <v>64852</v>
      </c>
      <c r="P36" s="55" t="n">
        <v>3.988082245892128e-10</v>
      </c>
      <c r="Q36" s="54" t="n">
        <v>1173</v>
      </c>
      <c r="R36" s="54" t="n">
        <v>773</v>
      </c>
      <c r="S36" s="54" t="n">
        <v>1223</v>
      </c>
      <c r="T36" s="54" t="n">
        <v>0.0033</v>
      </c>
      <c r="U36" s="43" t="inlineStr">
        <is>
          <t>—</t>
        </is>
      </c>
      <c r="V36" s="57" t="inlineStr">
        <is>
          <t>nan</t>
        </is>
      </c>
    </row>
    <row r="37" ht="16" customHeight="1">
      <c r="A37" s="232" t="inlineStr">
        <is>
          <t>Hastelloy_N_oxidized_Rohrig1975_1173K_v1</t>
        </is>
      </c>
      <c r="B37" s="232" t="inlineStr">
        <is>
          <t>Rohrig et al. 1975</t>
        </is>
      </c>
      <c r="C37" s="232" t="inlineStr">
        <is>
          <t>D₂</t>
        </is>
      </c>
      <c r="D37" s="232" t="inlineStr">
        <is>
          <t>Rohrig 1975</t>
        </is>
      </c>
      <c r="E37" s="233" t="n">
        <v>1.414214</v>
      </c>
      <c r="F37" s="232" t="inlineStr">
        <is>
          <t>D₂ → H₂: ×√2 = 1.4142</t>
        </is>
      </c>
      <c r="G37" s="232" t="inlineStr">
        <is>
          <t>No (&lt; 15% at 600-1200K)</t>
        </is>
      </c>
      <c r="H37" s="43" t="inlineStr">
        <is>
          <t>—</t>
        </is>
      </c>
      <c r="I37" s="43" t="inlineStr">
        <is>
          <t>—</t>
        </is>
      </c>
      <c r="J37" s="43" t="inlineStr">
        <is>
          <t>—</t>
        </is>
      </c>
      <c r="K37" s="43" t="inlineStr">
        <is>
          <t>—</t>
        </is>
      </c>
      <c r="L37" s="43" t="inlineStr">
        <is>
          <t>—</t>
        </is>
      </c>
      <c r="M37" s="43" t="inlineStr">
        <is>
          <t>—</t>
        </is>
      </c>
      <c r="N37" s="190" t="n">
        <v>5.982123368838193e-10</v>
      </c>
      <c r="O37" s="50" t="n">
        <v>77947.92</v>
      </c>
      <c r="P37" s="190" t="n">
        <v>1.658872508663641e-06</v>
      </c>
      <c r="Q37" s="233" t="n">
        <v>1173</v>
      </c>
      <c r="R37" s="233" t="n">
        <v>773</v>
      </c>
      <c r="S37" s="233" t="n">
        <v>1223</v>
      </c>
      <c r="T37" s="233" t="n">
        <v>0.0033</v>
      </c>
      <c r="U37" s="43" t="inlineStr">
        <is>
          <t>—</t>
        </is>
      </c>
      <c r="V37" s="52" t="inlineStr">
        <is>
          <t>nan</t>
        </is>
      </c>
    </row>
    <row r="38" ht="16" customHeight="1">
      <c r="A38" s="53" t="inlineStr">
        <is>
          <t>Hastelloy_N_oxidized_Rohrig1975_1173K_v2</t>
        </is>
      </c>
      <c r="B38" s="53" t="inlineStr">
        <is>
          <t>Rohrig et al. 1975</t>
        </is>
      </c>
      <c r="C38" s="53" t="inlineStr">
        <is>
          <t>D₂</t>
        </is>
      </c>
      <c r="D38" s="53" t="inlineStr">
        <is>
          <t>Rohrig 1975</t>
        </is>
      </c>
      <c r="E38" s="54" t="n">
        <v>1.414214</v>
      </c>
      <c r="F38" s="53" t="inlineStr">
        <is>
          <t>D₂ → H₂: ×√2 = 1.4142</t>
        </is>
      </c>
      <c r="G38" s="53" t="inlineStr">
        <is>
          <t>No (&lt; 15% at 600-1200K)</t>
        </is>
      </c>
      <c r="H38" s="43" t="inlineStr">
        <is>
          <t>—</t>
        </is>
      </c>
      <c r="I38" s="43" t="inlineStr">
        <is>
          <t>—</t>
        </is>
      </c>
      <c r="J38" s="43" t="inlineStr">
        <is>
          <t>—</t>
        </is>
      </c>
      <c r="K38" s="43" t="inlineStr">
        <is>
          <t>—</t>
        </is>
      </c>
      <c r="L38" s="43" t="inlineStr">
        <is>
          <t>—</t>
        </is>
      </c>
      <c r="M38" s="43" t="inlineStr">
        <is>
          <t>—</t>
        </is>
      </c>
      <c r="N38" s="55" t="n">
        <v>5.982123368838193e-10</v>
      </c>
      <c r="O38" s="56" t="n">
        <v>77947.92</v>
      </c>
      <c r="P38" s="55" t="n">
        <v>1.658872508663641e-06</v>
      </c>
      <c r="Q38" s="54" t="n">
        <v>1173</v>
      </c>
      <c r="R38" s="54" t="n">
        <v>773</v>
      </c>
      <c r="S38" s="54" t="n">
        <v>1223</v>
      </c>
      <c r="T38" s="54" t="n">
        <v>0.0033</v>
      </c>
      <c r="U38" s="43" t="inlineStr">
        <is>
          <t>—</t>
        </is>
      </c>
      <c r="V38" s="57" t="inlineStr">
        <is>
          <t>Duplicate entry in source data — identical parameters.</t>
        </is>
      </c>
    </row>
    <row r="39" ht="16" customHeight="1">
      <c r="A39" s="232" t="inlineStr">
        <is>
          <t>Nickel_unoxidized_Rohrig1975_1173K</t>
        </is>
      </c>
      <c r="B39" s="232" t="inlineStr">
        <is>
          <t>Rohrig et al. 1975</t>
        </is>
      </c>
      <c r="C39" s="232" t="inlineStr">
        <is>
          <t>D₂</t>
        </is>
      </c>
      <c r="D39" s="232" t="inlineStr">
        <is>
          <t>Rohrig 1975</t>
        </is>
      </c>
      <c r="E39" s="233" t="n">
        <v>1.414214</v>
      </c>
      <c r="F39" s="232" t="inlineStr">
        <is>
          <t>D₂ → H₂: ×√2 = 1.4142</t>
        </is>
      </c>
      <c r="G39" s="232" t="inlineStr">
        <is>
          <t>No (&lt; 15% at 600-1200K)</t>
        </is>
      </c>
      <c r="H39" s="43" t="inlineStr">
        <is>
          <t>—</t>
        </is>
      </c>
      <c r="I39" s="43" t="inlineStr">
        <is>
          <t>—</t>
        </is>
      </c>
      <c r="J39" s="43" t="inlineStr">
        <is>
          <t>—</t>
        </is>
      </c>
      <c r="K39" s="43" t="inlineStr">
        <is>
          <t>—</t>
        </is>
      </c>
      <c r="L39" s="43" t="inlineStr">
        <is>
          <t>—</t>
        </is>
      </c>
      <c r="M39" s="43" t="inlineStr">
        <is>
          <t>—</t>
        </is>
      </c>
      <c r="N39" s="190" t="n">
        <v>1.316067141144402e-09</v>
      </c>
      <c r="O39" s="50" t="n">
        <v>53555.2</v>
      </c>
      <c r="P39" s="190" t="n">
        <v>3.070823329336939e-07</v>
      </c>
      <c r="Q39" s="233" t="n">
        <v>1173</v>
      </c>
      <c r="R39" s="233" t="n">
        <v>773</v>
      </c>
      <c r="S39" s="233" t="n">
        <v>1223</v>
      </c>
      <c r="T39" s="233" t="n">
        <v>0.0033</v>
      </c>
      <c r="U39" s="43" t="inlineStr">
        <is>
          <t>—</t>
        </is>
      </c>
      <c r="V39" s="52" t="inlineStr">
        <is>
          <t>nan</t>
        </is>
      </c>
    </row>
    <row r="40" ht="16" customHeight="1">
      <c r="A40" s="264" t="inlineStr">
        <is>
          <t>metal_316_steel_Grant1988</t>
        </is>
      </c>
      <c r="B40" s="264" t="inlineStr">
        <is>
          <t>Grant et al. 1988 — Hydrogen in 316 steel: diffusion, permeation and surface rea</t>
        </is>
      </c>
      <c r="C40" s="264" t="inlineStr">
        <is>
          <t>H₂</t>
        </is>
      </c>
      <c r="D40" s="264" t="inlineStr">
        <is>
          <t>Grant 1988</t>
        </is>
      </c>
      <c r="E40" s="265" t="n">
        <v>1</v>
      </c>
      <c r="F40" s="264" t="inlineStr">
        <is>
          <t>No scaling — native H₂</t>
        </is>
      </c>
      <c r="G40" s="264" t="inlineStr">
        <is>
          <t>No (&lt; 15% at 600-1200K)</t>
        </is>
      </c>
      <c r="H40" s="267" t="n">
        <v>1.069e-09</v>
      </c>
      <c r="I40" s="265" t="n">
        <v>53292.74</v>
      </c>
      <c r="J40" s="267" t="n">
        <v>8.2e-07</v>
      </c>
      <c r="K40" s="265" t="n">
        <v>0.1295</v>
      </c>
      <c r="L40" s="265" t="n">
        <v>17791.96</v>
      </c>
      <c r="M40" s="265" t="n">
        <v>1.19</v>
      </c>
      <c r="N40" s="267" t="n">
        <v>1.384e-10</v>
      </c>
      <c r="O40" s="265" t="n">
        <v>68756.78</v>
      </c>
      <c r="P40" s="267" t="n">
        <v>8.899999999999999e-07</v>
      </c>
      <c r="Q40" s="265" t="n">
        <v>965</v>
      </c>
      <c r="R40" s="265" t="n">
        <v>502</v>
      </c>
      <c r="S40" s="265" t="n">
        <v>965</v>
      </c>
      <c r="T40" s="267" t="n">
        <v>5e-05</v>
      </c>
      <c r="U40" s="267" t="n">
        <v>9.2e-08</v>
      </c>
      <c r="V40" s="15" t="inlineStr">
        <is>
          <t>All parameter values include upper bound of stated uncertainty. k1 = dissociative adsorption / surface recombination rate constant. Three surface conditions measured: clean, partially ion-beam cleaned, and oxidized.</t>
        </is>
      </c>
    </row>
    <row r="41" ht="16" customHeight="1">
      <c r="A41" s="232" t="inlineStr">
        <is>
          <t>metal_1.4841_Schmidt1985</t>
        </is>
      </c>
      <c r="B41" s="232" t="inlineStr">
        <is>
          <t xml:space="preserve">Schmidt et al. 1985 — Studies on the permeation of hydrogen and tritium through </t>
        </is>
      </c>
      <c r="C41" s="232" t="inlineStr">
        <is>
          <t>T₂</t>
        </is>
      </c>
      <c r="D41" s="232" t="inlineStr">
        <is>
          <t>Schmidt 1985</t>
        </is>
      </c>
      <c r="E41" s="233" t="n">
        <v>1.732051</v>
      </c>
      <c r="F41" s="232" t="inlineStr">
        <is>
          <t>T₂ → H₂: ×√3 = 1.7321</t>
        </is>
      </c>
      <c r="G41" s="232" t="inlineStr">
        <is>
          <t>No (&lt; 15% at 600-1200K)</t>
        </is>
      </c>
      <c r="H41" s="190" t="n">
        <v>1.811725144717045e-09</v>
      </c>
      <c r="I41" s="50" t="n">
        <v>35400</v>
      </c>
      <c r="J41" s="190" t="n">
        <v>5.888972745734182e-08</v>
      </c>
      <c r="K41" s="50" t="n">
        <v>0.0901</v>
      </c>
      <c r="L41" s="50" t="n">
        <v>21500</v>
      </c>
      <c r="M41" s="50" t="n">
        <v>0.7465000000000001</v>
      </c>
      <c r="N41" s="190" t="n">
        <v>1.632111475972153e-10</v>
      </c>
      <c r="O41" s="50" t="n">
        <v>56900</v>
      </c>
      <c r="P41" s="190" t="n">
        <v>4.39594494960981e-08</v>
      </c>
      <c r="Q41" s="233" t="n">
        <v>1223</v>
      </c>
      <c r="R41" s="233" t="n">
        <v>1023</v>
      </c>
      <c r="S41" s="233" t="n">
        <v>1223</v>
      </c>
      <c r="T41" s="233" t="n">
        <v>0.005</v>
      </c>
      <c r="U41" s="43" t="inlineStr">
        <is>
          <t>—</t>
        </is>
      </c>
      <c r="V41" s="52" t="inlineStr">
        <is>
          <t>Phi_ref = D_ref * Ks_ref.</t>
        </is>
      </c>
    </row>
    <row r="42" ht="16" customHeight="1">
      <c r="A42" s="53" t="inlineStr">
        <is>
          <t>metal_1.4876_Incoloy800_Schmidt1985_v1</t>
        </is>
      </c>
      <c r="B42" s="53" t="inlineStr">
        <is>
          <t>Schmidt et al. 1985</t>
        </is>
      </c>
      <c r="C42" s="53" t="inlineStr">
        <is>
          <t>T₂</t>
        </is>
      </c>
      <c r="D42" s="53" t="inlineStr">
        <is>
          <t>Schmidt 1985</t>
        </is>
      </c>
      <c r="E42" s="54" t="n">
        <v>1.732051</v>
      </c>
      <c r="F42" s="53" t="inlineStr">
        <is>
          <t>T₂ → H₂: ×√3 = 1.7321</t>
        </is>
      </c>
      <c r="G42" s="53" t="inlineStr">
        <is>
          <t>No (&lt; 15% at 600-1200K)</t>
        </is>
      </c>
      <c r="H42" s="55" t="n">
        <v>6.552348205033062e-09</v>
      </c>
      <c r="I42" s="56" t="n">
        <v>56400</v>
      </c>
      <c r="J42" s="55" t="n">
        <v>1.680089283341811e-06</v>
      </c>
      <c r="K42" s="56" t="n">
        <v>0.02138</v>
      </c>
      <c r="L42" s="56" t="n">
        <v>200</v>
      </c>
      <c r="M42" s="56" t="n">
        <v>0.0218</v>
      </c>
      <c r="N42" s="55" t="n">
        <v>1.400882693161708e-10</v>
      </c>
      <c r="O42" s="56" t="n">
        <v>56600</v>
      </c>
      <c r="P42" s="55" t="n">
        <v>3.663287458008175e-08</v>
      </c>
      <c r="Q42" s="54" t="n">
        <v>1223</v>
      </c>
      <c r="R42" s="54" t="n">
        <v>1023</v>
      </c>
      <c r="S42" s="54" t="n">
        <v>1223</v>
      </c>
      <c r="T42" s="54" t="n">
        <v>0.005</v>
      </c>
      <c r="U42" s="43" t="inlineStr">
        <is>
          <t>—</t>
        </is>
      </c>
      <c r="V42" s="57" t="inlineStr">
        <is>
          <t>Phi_ref = D_ref * Ks_ref.</t>
        </is>
      </c>
    </row>
    <row r="43" ht="16" customHeight="1">
      <c r="A43" s="232" t="inlineStr">
        <is>
          <t>metal_X2_NiCr_30_25_Schmidt1985</t>
        </is>
      </c>
      <c r="B43" s="232" t="inlineStr">
        <is>
          <t>Schmidt et al. 1985</t>
        </is>
      </c>
      <c r="C43" s="232" t="inlineStr">
        <is>
          <t>T₂</t>
        </is>
      </c>
      <c r="D43" s="232" t="inlineStr">
        <is>
          <t>Schmidt 1985</t>
        </is>
      </c>
      <c r="E43" s="233" t="n">
        <v>1.732051</v>
      </c>
      <c r="F43" s="232" t="inlineStr">
        <is>
          <t>T₂ → H₂: ×√3 = 1.7321</t>
        </is>
      </c>
      <c r="G43" s="232" t="inlineStr">
        <is>
          <t>No (&lt; 15% at 600-1200K)</t>
        </is>
      </c>
      <c r="H43" s="190" t="n">
        <v>5.772925341627068e-09</v>
      </c>
      <c r="I43" s="50" t="n">
        <v>69500</v>
      </c>
      <c r="J43" s="190" t="n">
        <v>5.36935750346352e-06</v>
      </c>
      <c r="K43" s="50" t="n">
        <v>0.06505</v>
      </c>
      <c r="L43" s="50" t="n">
        <v>10200</v>
      </c>
      <c r="M43" s="50" t="n">
        <v>0.1774</v>
      </c>
      <c r="N43" s="190" t="n">
        <v>3.755086150809326e-10</v>
      </c>
      <c r="O43" s="50" t="n">
        <v>79700</v>
      </c>
      <c r="P43" s="190" t="n">
        <v>9.524547390821256e-07</v>
      </c>
      <c r="Q43" s="233" t="n">
        <v>1223</v>
      </c>
      <c r="R43" s="233" t="n">
        <v>1023</v>
      </c>
      <c r="S43" s="233" t="n">
        <v>1223</v>
      </c>
      <c r="T43" s="233" t="n">
        <v>0.005</v>
      </c>
      <c r="U43" s="43" t="inlineStr">
        <is>
          <t>—</t>
        </is>
      </c>
      <c r="V43" s="52" t="inlineStr">
        <is>
          <t>Phi_ref = D_ref * Ks_ref.</t>
        </is>
      </c>
    </row>
    <row r="44" ht="16" customHeight="1">
      <c r="A44" s="53" t="inlineStr">
        <is>
          <t>metal_X2_NiCrSi_30_25_Schmidt1985</t>
        </is>
      </c>
      <c r="B44" s="53" t="inlineStr">
        <is>
          <t>Schmidt et al. 1985</t>
        </is>
      </c>
      <c r="C44" s="53" t="inlineStr">
        <is>
          <t>T₂</t>
        </is>
      </c>
      <c r="D44" s="53" t="inlineStr">
        <is>
          <t>Schmidt 1985</t>
        </is>
      </c>
      <c r="E44" s="54" t="n">
        <v>1.732051</v>
      </c>
      <c r="F44" s="53" t="inlineStr">
        <is>
          <t>T₂ → H₂: ×√3 = 1.7321</t>
        </is>
      </c>
      <c r="G44" s="53" t="inlineStr">
        <is>
          <t>No (&lt; 15% at 600-1200K)</t>
        </is>
      </c>
      <c r="H44" s="55" t="n">
        <v>7.044250634382624e-09</v>
      </c>
      <c r="I44" s="56" t="n">
        <v>102900</v>
      </c>
      <c r="J44" s="55" t="n">
        <v>0.0001749371315644566</v>
      </c>
      <c r="K44" s="56" t="n">
        <v>0.1843</v>
      </c>
      <c r="L44" s="56" t="n">
        <v>68600</v>
      </c>
      <c r="M44" s="56" t="n">
        <v>156.9</v>
      </c>
      <c r="N44" s="55" t="n">
        <v>1.298518490434387e-09</v>
      </c>
      <c r="O44" s="56" t="n">
        <v>171500</v>
      </c>
      <c r="P44" s="59" t="n">
        <v>0.0274530052999667</v>
      </c>
      <c r="Q44" s="54" t="n">
        <v>1223</v>
      </c>
      <c r="R44" s="54" t="n">
        <v>1023</v>
      </c>
      <c r="S44" s="54" t="n">
        <v>1223</v>
      </c>
      <c r="T44" s="54" t="n">
        <v>0.005</v>
      </c>
      <c r="U44" s="43" t="inlineStr">
        <is>
          <t>—</t>
        </is>
      </c>
      <c r="V44" s="57" t="inlineStr">
        <is>
          <t>Phi_ref = D_ref * Ks_ref.</t>
        </is>
      </c>
    </row>
    <row r="45" ht="16" customHeight="1">
      <c r="A45" s="232" t="inlineStr">
        <is>
          <t>metal_X2_NiCrTi_30_25_Schmidt1985</t>
        </is>
      </c>
      <c r="B45" s="232" t="inlineStr">
        <is>
          <t>Schmidt et al. 1985</t>
        </is>
      </c>
      <c r="C45" s="232" t="inlineStr">
        <is>
          <t>T₂</t>
        </is>
      </c>
      <c r="D45" s="232" t="inlineStr">
        <is>
          <t>Schmidt 1985</t>
        </is>
      </c>
      <c r="E45" s="233" t="n">
        <v>1.732051</v>
      </c>
      <c r="F45" s="232" t="inlineStr">
        <is>
          <t>T₂ → H₂: ×√3 = 1.7321</t>
        </is>
      </c>
      <c r="G45" s="232" t="inlineStr">
        <is>
          <t>No (&lt; 15% at 600-1200K)</t>
        </is>
      </c>
      <c r="H45" s="190" t="n">
        <v>5.293147267930489e-09</v>
      </c>
      <c r="I45" s="50" t="n">
        <v>62300</v>
      </c>
      <c r="J45" s="190" t="n">
        <v>2.424871130596428e-06</v>
      </c>
      <c r="K45" s="50" t="n">
        <v>0.008059</v>
      </c>
      <c r="L45" s="50" t="n">
        <v>29100</v>
      </c>
      <c r="M45" s="50" t="n">
        <v>0.141</v>
      </c>
      <c r="N45" s="190" t="n">
        <v>4.266041139042145e-11</v>
      </c>
      <c r="O45" s="50" t="n">
        <v>91400</v>
      </c>
      <c r="P45" s="190" t="n">
        <v>3.419068294140964e-07</v>
      </c>
      <c r="Q45" s="233" t="n">
        <v>1223</v>
      </c>
      <c r="R45" s="233" t="n">
        <v>1023</v>
      </c>
      <c r="S45" s="233" t="n">
        <v>1223</v>
      </c>
      <c r="T45" s="233" t="n">
        <v>0.005</v>
      </c>
      <c r="U45" s="43" t="inlineStr">
        <is>
          <t>—</t>
        </is>
      </c>
      <c r="V45" s="52" t="inlineStr">
        <is>
          <t>Phi_ref = D_ref * Ks_ref.</t>
        </is>
      </c>
    </row>
    <row r="46" ht="16" customHeight="1">
      <c r="A46" s="53" t="inlineStr">
        <is>
          <t>metal_X10_NiCrTi_30_25_Schmidt1985</t>
        </is>
      </c>
      <c r="B46" s="53" t="inlineStr">
        <is>
          <t>Schmidt et al. 1985</t>
        </is>
      </c>
      <c r="C46" s="53" t="inlineStr">
        <is>
          <t>T₂</t>
        </is>
      </c>
      <c r="D46" s="53" t="inlineStr">
        <is>
          <t>Schmidt 1985</t>
        </is>
      </c>
      <c r="E46" s="54" t="n">
        <v>1.732051</v>
      </c>
      <c r="F46" s="53" t="inlineStr">
        <is>
          <t>T₂ → H₂: ×√3 = 1.7321</t>
        </is>
      </c>
      <c r="G46" s="53" t="inlineStr">
        <is>
          <t>No (&lt; 15% at 600-1200K)</t>
        </is>
      </c>
      <c r="H46" s="55" t="n">
        <v>1.995322530319346e-09</v>
      </c>
      <c r="I46" s="56" t="n">
        <v>42600</v>
      </c>
      <c r="J46" s="55" t="n">
        <v>1.316358613752347e-07</v>
      </c>
      <c r="K46" s="56" t="n">
        <v>0.07315000000000001</v>
      </c>
      <c r="L46" s="56" t="n">
        <v>45900</v>
      </c>
      <c r="M46" s="56" t="n">
        <v>6.679</v>
      </c>
      <c r="N46" s="55" t="n">
        <v>1.459079600296022e-10</v>
      </c>
      <c r="O46" s="56" t="n">
        <v>88500</v>
      </c>
      <c r="P46" s="55" t="n">
        <v>8.791889899219621e-07</v>
      </c>
      <c r="Q46" s="54" t="n">
        <v>1223</v>
      </c>
      <c r="R46" s="54" t="n">
        <v>1023</v>
      </c>
      <c r="S46" s="54" t="n">
        <v>1223</v>
      </c>
      <c r="T46" s="54" t="n">
        <v>0.005</v>
      </c>
      <c r="U46" s="43" t="inlineStr">
        <is>
          <t>—</t>
        </is>
      </c>
      <c r="V46" s="57" t="inlineStr">
        <is>
          <t>Phi_ref = D_ref * Ks_ref.</t>
        </is>
      </c>
    </row>
    <row r="47" ht="16" customHeight="1">
      <c r="A47" s="232" t="inlineStr">
        <is>
          <t>metal_X40_NiCrTi_30_25_Schmidt1985</t>
        </is>
      </c>
      <c r="B47" s="232" t="inlineStr">
        <is>
          <t>Schmidt et al. 1985</t>
        </is>
      </c>
      <c r="C47" s="232" t="inlineStr">
        <is>
          <t>T₂</t>
        </is>
      </c>
      <c r="D47" s="232" t="inlineStr">
        <is>
          <t>Schmidt 1985</t>
        </is>
      </c>
      <c r="E47" s="233" t="n">
        <v>1.732051</v>
      </c>
      <c r="F47" s="232" t="inlineStr">
        <is>
          <t>T₂ → H₂: ×√3 = 1.7321</t>
        </is>
      </c>
      <c r="G47" s="232" t="inlineStr">
        <is>
          <t>No (&lt; 15% at 600-1200K)</t>
        </is>
      </c>
      <c r="H47" s="190" t="n">
        <v>1.196673902949337e-09</v>
      </c>
      <c r="I47" s="50" t="n">
        <v>23400</v>
      </c>
      <c r="J47" s="190" t="n">
        <v>1.195115057222525e-08</v>
      </c>
      <c r="K47" s="50" t="n">
        <v>0.09948</v>
      </c>
      <c r="L47" s="50" t="n">
        <v>33400</v>
      </c>
      <c r="M47" s="50" t="n">
        <v>2.657</v>
      </c>
      <c r="N47" s="190" t="n">
        <v>1.190438520042089e-10</v>
      </c>
      <c r="O47" s="50" t="n">
        <v>56800</v>
      </c>
      <c r="P47" s="190" t="n">
        <v>3.174849130273752e-08</v>
      </c>
      <c r="Q47" s="233" t="n">
        <v>1223</v>
      </c>
      <c r="R47" s="233" t="n">
        <v>1023</v>
      </c>
      <c r="S47" s="233" t="n">
        <v>1223</v>
      </c>
      <c r="T47" s="233" t="n">
        <v>0.005</v>
      </c>
      <c r="U47" s="43" t="inlineStr">
        <is>
          <t>—</t>
        </is>
      </c>
      <c r="V47" s="52" t="inlineStr">
        <is>
          <t>Phi_ref = D_ref * Ks_ref.</t>
        </is>
      </c>
    </row>
    <row r="48" ht="16" customHeight="1">
      <c r="A48" s="53" t="inlineStr">
        <is>
          <t>metal_X10_NiCr_30_20_Schmidt1985</t>
        </is>
      </c>
      <c r="B48" s="53" t="inlineStr">
        <is>
          <t>Schmidt et al. 1985</t>
        </is>
      </c>
      <c r="C48" s="53" t="inlineStr">
        <is>
          <t>T₂</t>
        </is>
      </c>
      <c r="D48" s="53" t="inlineStr">
        <is>
          <t>Schmidt 1985</t>
        </is>
      </c>
      <c r="E48" s="54" t="n">
        <v>1.732051</v>
      </c>
      <c r="F48" s="53" t="inlineStr">
        <is>
          <t>T₂ → H₂: ×√3 = 1.7321</t>
        </is>
      </c>
      <c r="G48" s="53" t="inlineStr">
        <is>
          <t>No (&lt; 15% at 600-1200K)</t>
        </is>
      </c>
      <c r="H48" s="55" t="n">
        <v>3.666751559623313e-09</v>
      </c>
      <c r="I48" s="56" t="n">
        <v>48100</v>
      </c>
      <c r="J48" s="55" t="n">
        <v>4.156921938165305e-07</v>
      </c>
      <c r="K48" s="56" t="n">
        <v>0.07104000000000001</v>
      </c>
      <c r="L48" s="56" t="n">
        <v>39700</v>
      </c>
      <c r="M48" s="56" t="n">
        <v>3.525</v>
      </c>
      <c r="N48" s="55" t="n">
        <v>2.605004414583591e-10</v>
      </c>
      <c r="O48" s="56" t="n">
        <v>87800</v>
      </c>
      <c r="P48" s="55" t="n">
        <v>1.46531498320327e-06</v>
      </c>
      <c r="Q48" s="54" t="n">
        <v>1223</v>
      </c>
      <c r="R48" s="54" t="n">
        <v>1023</v>
      </c>
      <c r="S48" s="54" t="n">
        <v>1223</v>
      </c>
      <c r="T48" s="54" t="n">
        <v>0.005</v>
      </c>
      <c r="U48" s="43" t="inlineStr">
        <is>
          <t>—</t>
        </is>
      </c>
      <c r="V48" s="57" t="inlineStr">
        <is>
          <t>Phi_ref = D_ref * Ks_ref.</t>
        </is>
      </c>
    </row>
    <row r="49" ht="16" customHeight="1">
      <c r="A49" s="232" t="inlineStr">
        <is>
          <t>metal_X10_NiCr_30_22_Schmidt1985</t>
        </is>
      </c>
      <c r="B49" s="232" t="inlineStr">
        <is>
          <t>Schmidt et al. 1985</t>
        </is>
      </c>
      <c r="C49" s="232" t="inlineStr">
        <is>
          <t>T₂</t>
        </is>
      </c>
      <c r="D49" s="232" t="inlineStr">
        <is>
          <t>Schmidt 1985</t>
        </is>
      </c>
      <c r="E49" s="233" t="n">
        <v>1.732051</v>
      </c>
      <c r="F49" s="232" t="inlineStr">
        <is>
          <t>T₂ → H₂: ×√3 = 1.7321</t>
        </is>
      </c>
      <c r="G49" s="232" t="inlineStr">
        <is>
          <t>No (&lt; 15% at 600-1200K)</t>
        </is>
      </c>
      <c r="H49" s="190" t="n">
        <v>3.055337624551499e-09</v>
      </c>
      <c r="I49" s="50" t="n">
        <v>48600</v>
      </c>
      <c r="J49" s="190" t="n">
        <v>3.637306695894642e-07</v>
      </c>
      <c r="K49" s="50" t="n">
        <v>0.06537</v>
      </c>
      <c r="L49" s="50" t="n">
        <v>44700</v>
      </c>
      <c r="M49" s="50" t="n">
        <v>5.304</v>
      </c>
      <c r="N49" s="190" t="n">
        <v>1.997054581126915e-10</v>
      </c>
      <c r="O49" s="50" t="n">
        <v>93300</v>
      </c>
      <c r="P49" s="190" t="n">
        <v>1.929504599631729e-06</v>
      </c>
      <c r="Q49" s="233" t="n">
        <v>1223</v>
      </c>
      <c r="R49" s="233" t="n">
        <v>1023</v>
      </c>
      <c r="S49" s="233" t="n">
        <v>1223</v>
      </c>
      <c r="T49" s="233" t="n">
        <v>0.005</v>
      </c>
      <c r="U49" s="43" t="inlineStr">
        <is>
          <t>—</t>
        </is>
      </c>
      <c r="V49" s="52" t="inlineStr">
        <is>
          <t>Phi_ref = D_ref * Ks_ref.</t>
        </is>
      </c>
    </row>
    <row r="50" ht="16" customHeight="1">
      <c r="A50" s="53" t="inlineStr">
        <is>
          <t>metal_X10_NiCr_30_26_Schmidt1985</t>
        </is>
      </c>
      <c r="B50" s="53" t="inlineStr">
        <is>
          <t>Schmidt et al. 1985</t>
        </is>
      </c>
      <c r="C50" s="53" t="inlineStr">
        <is>
          <t>T₂</t>
        </is>
      </c>
      <c r="D50" s="53" t="inlineStr">
        <is>
          <t>Schmidt 1985</t>
        </is>
      </c>
      <c r="E50" s="54" t="n">
        <v>1.732051</v>
      </c>
      <c r="F50" s="53" t="inlineStr">
        <is>
          <t>T₂ → H₂: ×√3 = 1.7321</t>
        </is>
      </c>
      <c r="G50" s="53" t="inlineStr">
        <is>
          <t>No (&lt; 15% at 600-1200K)</t>
        </is>
      </c>
      <c r="H50" s="55" t="n">
        <v>4.425389813338481e-09</v>
      </c>
      <c r="I50" s="56" t="n">
        <v>112800</v>
      </c>
      <c r="J50" s="55" t="n">
        <v>0.0002909845356715713</v>
      </c>
      <c r="K50" s="56" t="n">
        <v>0.1502</v>
      </c>
      <c r="L50" s="56" t="n">
        <v>85900</v>
      </c>
      <c r="M50" s="56" t="n">
        <v>700.8</v>
      </c>
      <c r="N50" s="55" t="n">
        <v>6.647610999449351e-10</v>
      </c>
      <c r="O50" s="56" t="n">
        <v>198700</v>
      </c>
      <c r="P50" s="59" t="n">
        <v>0.2038623800508569</v>
      </c>
      <c r="Q50" s="54" t="n">
        <v>1223</v>
      </c>
      <c r="R50" s="54" t="n">
        <v>1023</v>
      </c>
      <c r="S50" s="54" t="n">
        <v>1223</v>
      </c>
      <c r="T50" s="54" t="n">
        <v>0.005</v>
      </c>
      <c r="U50" s="43" t="inlineStr">
        <is>
          <t>—</t>
        </is>
      </c>
      <c r="V50" s="57" t="inlineStr">
        <is>
          <t>Phi_ref = D_ref * Ks_ref.</t>
        </is>
      </c>
    </row>
    <row r="51" ht="16" customHeight="1">
      <c r="A51" s="262" t="inlineStr">
        <is>
          <t>metal_X10_NiCrAlTi_32_12_Incoloy800H_Schmidt1985</t>
        </is>
      </c>
      <c r="B51" s="262" t="inlineStr">
        <is>
          <t>Schmidt et al. 1985</t>
        </is>
      </c>
      <c r="C51" s="262" t="inlineStr">
        <is>
          <t>H₂</t>
        </is>
      </c>
      <c r="D51" s="262" t="inlineStr">
        <is>
          <t>Schmidt 1985</t>
        </is>
      </c>
      <c r="E51" s="263" t="n">
        <v>1</v>
      </c>
      <c r="F51" s="262" t="inlineStr">
        <is>
          <t>No scaling — native H₂</t>
        </is>
      </c>
      <c r="G51" s="262" t="inlineStr">
        <is>
          <t>No (&lt; 15% at 600-1200K)</t>
        </is>
      </c>
      <c r="H51" s="43" t="inlineStr">
        <is>
          <t>—</t>
        </is>
      </c>
      <c r="I51" s="43" t="inlineStr">
        <is>
          <t>—</t>
        </is>
      </c>
      <c r="J51" s="43" t="inlineStr">
        <is>
          <t>—</t>
        </is>
      </c>
      <c r="K51" s="43" t="inlineStr">
        <is>
          <t>—</t>
        </is>
      </c>
      <c r="L51" s="43" t="inlineStr">
        <is>
          <t>—</t>
        </is>
      </c>
      <c r="M51" s="43" t="inlineStr">
        <is>
          <t>—</t>
        </is>
      </c>
      <c r="N51" s="266" t="n">
        <v>8.05e-10</v>
      </c>
      <c r="O51" s="263" t="n">
        <v>75200</v>
      </c>
      <c r="P51" s="266" t="n">
        <v>1.311e-06</v>
      </c>
      <c r="Q51" s="263" t="n">
        <v>1223</v>
      </c>
      <c r="R51" s="263" t="n">
        <v>1023</v>
      </c>
      <c r="S51" s="263" t="n">
        <v>1223</v>
      </c>
      <c r="T51" s="263" t="n">
        <v>0.005</v>
      </c>
      <c r="U51" s="43" t="inlineStr">
        <is>
          <t>—</t>
        </is>
      </c>
      <c r="V51" s="19" t="inlineStr">
        <is>
          <t>Phi_ref computed from Phi_0 and Q_p via Arrhenius (D_0/Ks_0 unavailable).</t>
        </is>
      </c>
    </row>
    <row r="52" ht="16" customHeight="1">
      <c r="A52" s="264" t="inlineStr">
        <is>
          <t>metal_NiCr_22_CoMoAl_Inconel617_Schmidt1985_1023K</t>
        </is>
      </c>
      <c r="B52" s="264" t="inlineStr">
        <is>
          <t>Schmidt et al. 1985</t>
        </is>
      </c>
      <c r="C52" s="264" t="inlineStr">
        <is>
          <t>H₂</t>
        </is>
      </c>
      <c r="D52" s="264" t="inlineStr">
        <is>
          <t>Schmidt 1985</t>
        </is>
      </c>
      <c r="E52" s="265" t="n">
        <v>1</v>
      </c>
      <c r="F52" s="264" t="inlineStr">
        <is>
          <t>No scaling — native H₂</t>
        </is>
      </c>
      <c r="G52" s="264" t="inlineStr">
        <is>
          <t>No (&lt; 15% at 600-1200K)</t>
        </is>
      </c>
      <c r="H52" s="43" t="inlineStr">
        <is>
          <t>—</t>
        </is>
      </c>
      <c r="I52" s="43" t="inlineStr">
        <is>
          <t>—</t>
        </is>
      </c>
      <c r="J52" s="43" t="inlineStr">
        <is>
          <t>—</t>
        </is>
      </c>
      <c r="K52" s="43" t="inlineStr">
        <is>
          <t>—</t>
        </is>
      </c>
      <c r="L52" s="43" t="inlineStr">
        <is>
          <t>—</t>
        </is>
      </c>
      <c r="M52" s="43" t="inlineStr">
        <is>
          <t>—</t>
        </is>
      </c>
      <c r="N52" s="267" t="n">
        <v>2.349e-10</v>
      </c>
      <c r="O52" s="265" t="n">
        <v>68100</v>
      </c>
      <c r="P52" s="267" t="n">
        <v>7.05e-07</v>
      </c>
      <c r="Q52" s="265" t="n">
        <v>1023</v>
      </c>
      <c r="R52" s="265" t="n">
        <v>1023</v>
      </c>
      <c r="S52" s="265" t="n">
        <v>1223</v>
      </c>
      <c r="T52" s="265" t="n">
        <v>0.005</v>
      </c>
      <c r="U52" s="43" t="inlineStr">
        <is>
          <t>—</t>
        </is>
      </c>
      <c r="V52" s="15" t="inlineStr">
        <is>
          <t>Phi_ref computed from Phi_0 and Q_p via Arrhenius (D_0/Ks_0 unavailable).</t>
        </is>
      </c>
    </row>
    <row r="53" ht="16" customHeight="1">
      <c r="A53" s="262" t="inlineStr">
        <is>
          <t>metal_NiCr_22_CoMoAl_Inconel617_Schmidt1985_1173K</t>
        </is>
      </c>
      <c r="B53" s="262" t="inlineStr">
        <is>
          <t>Schmidt et al. 1985</t>
        </is>
      </c>
      <c r="C53" s="262" t="inlineStr">
        <is>
          <t>H₂</t>
        </is>
      </c>
      <c r="D53" s="262" t="inlineStr">
        <is>
          <t>Schmidt 1985</t>
        </is>
      </c>
      <c r="E53" s="263" t="n">
        <v>1</v>
      </c>
      <c r="F53" s="262" t="inlineStr">
        <is>
          <t>No scaling — native H₂</t>
        </is>
      </c>
      <c r="G53" s="262" t="inlineStr">
        <is>
          <t>No (&lt; 15% at 600-1200K)</t>
        </is>
      </c>
      <c r="H53" s="43" t="inlineStr">
        <is>
          <t>—</t>
        </is>
      </c>
      <c r="I53" s="43" t="inlineStr">
        <is>
          <t>—</t>
        </is>
      </c>
      <c r="J53" s="43" t="inlineStr">
        <is>
          <t>—</t>
        </is>
      </c>
      <c r="K53" s="43" t="inlineStr">
        <is>
          <t>—</t>
        </is>
      </c>
      <c r="L53" s="43" t="inlineStr">
        <is>
          <t>—</t>
        </is>
      </c>
      <c r="M53" s="43" t="inlineStr">
        <is>
          <t>—</t>
        </is>
      </c>
      <c r="N53" s="266" t="n">
        <v>3.973e-10</v>
      </c>
      <c r="O53" s="263" t="n">
        <v>83000</v>
      </c>
      <c r="P53" s="266" t="n">
        <v>1.974e-06</v>
      </c>
      <c r="Q53" s="263" t="n">
        <v>1173</v>
      </c>
      <c r="R53" s="263" t="n">
        <v>1023</v>
      </c>
      <c r="S53" s="263" t="n">
        <v>1173</v>
      </c>
      <c r="T53" s="263" t="n">
        <v>0.005</v>
      </c>
      <c r="U53" s="43" t="inlineStr">
        <is>
          <t>—</t>
        </is>
      </c>
      <c r="V53" s="19" t="inlineStr">
        <is>
          <t>Trapping effects observed. Phi_ref computed from Phi_0 and Q_p via Arrhenius (D_0/Ks_0 unavailable).</t>
        </is>
      </c>
    </row>
    <row r="54" ht="16" customHeight="1">
      <c r="A54" s="264" t="inlineStr">
        <is>
          <t>metal_NiCr_22_MoFeNb_Inconel625_Schmidt1985</t>
        </is>
      </c>
      <c r="B54" s="264" t="inlineStr">
        <is>
          <t>Schmidt et al. 1985</t>
        </is>
      </c>
      <c r="C54" s="264" t="inlineStr">
        <is>
          <t>H₂</t>
        </is>
      </c>
      <c r="D54" s="264" t="inlineStr">
        <is>
          <t>Schmidt 1985</t>
        </is>
      </c>
      <c r="E54" s="265" t="n">
        <v>1</v>
      </c>
      <c r="F54" s="264" t="inlineStr">
        <is>
          <t>No scaling — native H₂</t>
        </is>
      </c>
      <c r="G54" s="264" t="inlineStr">
        <is>
          <t>No (&lt; 15% at 600-1200K)</t>
        </is>
      </c>
      <c r="H54" s="43" t="inlineStr">
        <is>
          <t>—</t>
        </is>
      </c>
      <c r="I54" s="43" t="inlineStr">
        <is>
          <t>—</t>
        </is>
      </c>
      <c r="J54" s="43" t="inlineStr">
        <is>
          <t>—</t>
        </is>
      </c>
      <c r="K54" s="43" t="inlineStr">
        <is>
          <t>—</t>
        </is>
      </c>
      <c r="L54" s="43" t="inlineStr">
        <is>
          <t>—</t>
        </is>
      </c>
      <c r="M54" s="43" t="inlineStr">
        <is>
          <t>—</t>
        </is>
      </c>
      <c r="N54" s="267" t="n">
        <v>3.183e-10</v>
      </c>
      <c r="O54" s="265" t="n">
        <v>60000</v>
      </c>
      <c r="P54" s="267" t="n">
        <v>2.397e-07</v>
      </c>
      <c r="Q54" s="265" t="n">
        <v>1173</v>
      </c>
      <c r="R54" s="265" t="n">
        <v>1023</v>
      </c>
      <c r="S54" s="265" t="n">
        <v>1173</v>
      </c>
      <c r="T54" s="265" t="n">
        <v>0.005</v>
      </c>
      <c r="U54" s="43" t="inlineStr">
        <is>
          <t>—</t>
        </is>
      </c>
      <c r="V54" s="15" t="inlineStr">
        <is>
          <t>Trapping effects observed. Phi_ref computed from Phi_0 and Q_p via Arrhenius (D_0/Ks_0 unavailable).</t>
        </is>
      </c>
    </row>
    <row r="55" ht="16" customHeight="1">
      <c r="A55" s="232" t="inlineStr">
        <is>
          <t>metal_X40_NiCrAlTi_31_19_Incoloy802_Schmidt1985</t>
        </is>
      </c>
      <c r="B55" s="232" t="inlineStr">
        <is>
          <t>Schmidt et al. 1985</t>
        </is>
      </c>
      <c r="C55" s="232" t="inlineStr">
        <is>
          <t>T₂</t>
        </is>
      </c>
      <c r="D55" s="232" t="inlineStr">
        <is>
          <t>Schmidt 1985</t>
        </is>
      </c>
      <c r="E55" s="233" t="n">
        <v>1.732051</v>
      </c>
      <c r="F55" s="232" t="inlineStr">
        <is>
          <t>T₂ → H₂: ×√3 = 1.7321</t>
        </is>
      </c>
      <c r="G55" s="232" t="inlineStr">
        <is>
          <t>No (&lt; 15% at 600-1200K)</t>
        </is>
      </c>
      <c r="H55" s="190" t="n">
        <v>4.285093697925402e-09</v>
      </c>
      <c r="I55" s="50" t="n">
        <v>72200</v>
      </c>
      <c r="J55" s="190" t="n">
        <v>5.196152422706632e-06</v>
      </c>
      <c r="K55" s="50" t="n">
        <v>0.05093</v>
      </c>
      <c r="L55" s="50" t="n">
        <v>7200</v>
      </c>
      <c r="M55" s="50" t="n">
        <v>0.1034</v>
      </c>
      <c r="N55" s="190" t="n">
        <v>2.182384017536785e-10</v>
      </c>
      <c r="O55" s="50" t="n">
        <v>79400</v>
      </c>
      <c r="P55" s="190" t="n">
        <v>5.372821605078657e-07</v>
      </c>
      <c r="Q55" s="233" t="n">
        <v>1223</v>
      </c>
      <c r="R55" s="233" t="n">
        <v>1023</v>
      </c>
      <c r="S55" s="233" t="n">
        <v>1223</v>
      </c>
      <c r="T55" s="233" t="n">
        <v>0.005</v>
      </c>
      <c r="U55" s="43" t="inlineStr">
        <is>
          <t>—</t>
        </is>
      </c>
      <c r="V55" s="52" t="inlineStr">
        <is>
          <t>Phi_ref = D_ref * Ks_ref.</t>
        </is>
      </c>
    </row>
    <row r="56" ht="16" customHeight="1">
      <c r="A56" s="53" t="inlineStr">
        <is>
          <t>metal_1.4762_Schmidt1985</t>
        </is>
      </c>
      <c r="B56" s="53" t="inlineStr">
        <is>
          <t>Schmidt et al. 1985</t>
        </is>
      </c>
      <c r="C56" s="53" t="inlineStr">
        <is>
          <t>T₂</t>
        </is>
      </c>
      <c r="D56" s="53" t="inlineStr">
        <is>
          <t>Schmidt 1985</t>
        </is>
      </c>
      <c r="E56" s="54" t="n">
        <v>1.732051</v>
      </c>
      <c r="F56" s="53" t="inlineStr">
        <is>
          <t>T₂ → H₂: ×√3 = 1.7321</t>
        </is>
      </c>
      <c r="G56" s="53" t="inlineStr">
        <is>
          <t>No (&lt; 15% at 600-1200K)</t>
        </is>
      </c>
      <c r="H56" s="43" t="inlineStr">
        <is>
          <t>—</t>
        </is>
      </c>
      <c r="I56" s="43" t="inlineStr">
        <is>
          <t>—</t>
        </is>
      </c>
      <c r="J56" s="43" t="inlineStr">
        <is>
          <t>—</t>
        </is>
      </c>
      <c r="K56" s="43" t="inlineStr">
        <is>
          <t>—</t>
        </is>
      </c>
      <c r="L56" s="43" t="inlineStr">
        <is>
          <t>—</t>
        </is>
      </c>
      <c r="M56" s="43" t="inlineStr">
        <is>
          <t>—</t>
        </is>
      </c>
      <c r="N56" s="43" t="inlineStr">
        <is>
          <t>—</t>
        </is>
      </c>
      <c r="O56" s="43" t="inlineStr">
        <is>
          <t>—</t>
        </is>
      </c>
      <c r="P56" s="43" t="inlineStr">
        <is>
          <t>—</t>
        </is>
      </c>
      <c r="Q56" s="54" t="n">
        <v>1123</v>
      </c>
      <c r="R56" s="54" t="n">
        <v>973</v>
      </c>
      <c r="S56" s="54" t="n">
        <v>1123</v>
      </c>
      <c r="T56" s="54" t="n">
        <v>0.005</v>
      </c>
      <c r="U56" s="43" t="inlineStr">
        <is>
          <t>—</t>
        </is>
      </c>
      <c r="V56" s="57" t="inlineStr">
        <is>
          <t>Phase transformation in temperature range. No permeation data provided.</t>
        </is>
      </c>
    </row>
    <row r="57" ht="16" customHeight="1">
      <c r="A57" s="232" t="inlineStr">
        <is>
          <t>metal_1.4763_Schmidt1985</t>
        </is>
      </c>
      <c r="B57" s="232" t="inlineStr">
        <is>
          <t>Schmidt et al. 1985</t>
        </is>
      </c>
      <c r="C57" s="232" t="inlineStr">
        <is>
          <t>T₂</t>
        </is>
      </c>
      <c r="D57" s="232" t="inlineStr">
        <is>
          <t>Schmidt 1985</t>
        </is>
      </c>
      <c r="E57" s="233" t="n">
        <v>1.732051</v>
      </c>
      <c r="F57" s="232" t="inlineStr">
        <is>
          <t>T₂ → H₂: ×√3 = 1.7321</t>
        </is>
      </c>
      <c r="G57" s="232" t="inlineStr">
        <is>
          <t>No (&lt; 15% at 600-1200K)</t>
        </is>
      </c>
      <c r="H57" s="43" t="inlineStr">
        <is>
          <t>—</t>
        </is>
      </c>
      <c r="I57" s="43" t="inlineStr">
        <is>
          <t>—</t>
        </is>
      </c>
      <c r="J57" s="43" t="inlineStr">
        <is>
          <t>—</t>
        </is>
      </c>
      <c r="K57" s="43" t="inlineStr">
        <is>
          <t>—</t>
        </is>
      </c>
      <c r="L57" s="43" t="inlineStr">
        <is>
          <t>—</t>
        </is>
      </c>
      <c r="M57" s="43" t="inlineStr">
        <is>
          <t>—</t>
        </is>
      </c>
      <c r="N57" s="190" t="n">
        <v>4.730230755470603e-11</v>
      </c>
      <c r="O57" s="50" t="n">
        <v>141300</v>
      </c>
      <c r="P57" s="190" t="n">
        <v>0.0001768423874527824</v>
      </c>
      <c r="Q57" s="233" t="n">
        <v>1123</v>
      </c>
      <c r="R57" s="233" t="n">
        <v>973</v>
      </c>
      <c r="S57" s="233" t="n">
        <v>1123</v>
      </c>
      <c r="T57" s="233" t="n">
        <v>0.005</v>
      </c>
      <c r="U57" s="43" t="inlineStr">
        <is>
          <t>—</t>
        </is>
      </c>
      <c r="V57" s="52" t="inlineStr">
        <is>
          <t>Phase transformation in temperature range. Phi_ref computed from Phi_0 and Q_p via Arrhenius (D_0/Ks_0 unavailable).</t>
        </is>
      </c>
    </row>
    <row r="58" ht="16" customHeight="1">
      <c r="A58" s="53" t="inlineStr">
        <is>
          <t>metal_1.4301_Schmidt1985_v1</t>
        </is>
      </c>
      <c r="B58" s="53" t="inlineStr">
        <is>
          <t>Schmidt et al. 1985</t>
        </is>
      </c>
      <c r="C58" s="53" t="inlineStr">
        <is>
          <t>T₂</t>
        </is>
      </c>
      <c r="D58" s="53" t="inlineStr">
        <is>
          <t>Schmidt 1985</t>
        </is>
      </c>
      <c r="E58" s="54" t="n">
        <v>1.732051</v>
      </c>
      <c r="F58" s="53" t="inlineStr">
        <is>
          <t>T₂ → H₂: ×√3 = 1.7321</t>
        </is>
      </c>
      <c r="G58" s="53" t="inlineStr">
        <is>
          <t>No (&lt; 15% at 600-1200K)</t>
        </is>
      </c>
      <c r="H58" s="55" t="n">
        <v>2.805922308261581e-09</v>
      </c>
      <c r="I58" s="56" t="n">
        <v>46700</v>
      </c>
      <c r="J58" s="55" t="n">
        <v>2.771281292110203e-07</v>
      </c>
      <c r="K58" s="56" t="n">
        <v>0.2091</v>
      </c>
      <c r="L58" s="56" t="n">
        <v>73500</v>
      </c>
      <c r="M58" s="56" t="n">
        <v>288.2</v>
      </c>
      <c r="N58" s="55" t="n">
        <v>5.866456085235787e-10</v>
      </c>
      <c r="O58" s="56" t="n">
        <v>120200</v>
      </c>
      <c r="P58" s="55" t="n">
        <v>7.986486273700092e-05</v>
      </c>
      <c r="Q58" s="54" t="n">
        <v>1223</v>
      </c>
      <c r="R58" s="54" t="n">
        <v>1023</v>
      </c>
      <c r="S58" s="54" t="n">
        <v>1223</v>
      </c>
      <c r="T58" s="54" t="n">
        <v>0.005</v>
      </c>
      <c r="U58" s="43" t="inlineStr">
        <is>
          <t>—</t>
        </is>
      </c>
      <c r="V58" s="57" t="inlineStr">
        <is>
          <t>Phi_ref = D_ref * Ks_ref.</t>
        </is>
      </c>
    </row>
    <row r="59" ht="16" customHeight="1">
      <c r="A59" s="232" t="inlineStr">
        <is>
          <t>metal_1.4301_Schmidt1985_v2</t>
        </is>
      </c>
      <c r="B59" s="232" t="inlineStr">
        <is>
          <t>Schmidt et al. 1985</t>
        </is>
      </c>
      <c r="C59" s="232" t="inlineStr">
        <is>
          <t>T₂</t>
        </is>
      </c>
      <c r="D59" s="232" t="inlineStr">
        <is>
          <t>Schmidt 1985</t>
        </is>
      </c>
      <c r="E59" s="233" t="n">
        <v>1.732051</v>
      </c>
      <c r="F59" s="232" t="inlineStr">
        <is>
          <t>T₂ → H₂: ×√3 = 1.7321</t>
        </is>
      </c>
      <c r="G59" s="232" t="inlineStr">
        <is>
          <t>No (&lt; 15% at 600-1200K)</t>
        </is>
      </c>
      <c r="H59" s="190" t="n">
        <v>4.948469157224282e-09</v>
      </c>
      <c r="I59" s="50" t="n">
        <v>54200</v>
      </c>
      <c r="J59" s="190" t="n">
        <v>1.021909976465637e-06</v>
      </c>
      <c r="K59" s="50" t="n">
        <v>0.1061</v>
      </c>
      <c r="L59" s="50" t="n">
        <v>15300</v>
      </c>
      <c r="M59" s="50" t="n">
        <v>0.478</v>
      </c>
      <c r="N59" s="190" t="n">
        <v>5.251578048548836e-10</v>
      </c>
      <c r="O59" s="50" t="n">
        <v>69500</v>
      </c>
      <c r="P59" s="190" t="n">
        <v>4.884383277344234e-07</v>
      </c>
      <c r="Q59" s="233" t="n">
        <v>1223</v>
      </c>
      <c r="R59" s="233" t="n">
        <v>1023</v>
      </c>
      <c r="S59" s="233" t="n">
        <v>1223</v>
      </c>
      <c r="T59" s="233" t="n">
        <v>0.005</v>
      </c>
      <c r="U59" s="43" t="inlineStr">
        <is>
          <t>—</t>
        </is>
      </c>
      <c r="V59" s="52" t="inlineStr">
        <is>
          <t>Phi_ref = D_ref * Ks_ref.</t>
        </is>
      </c>
    </row>
    <row r="60" ht="16" customHeight="1">
      <c r="A60" s="53" t="inlineStr">
        <is>
          <t>metal_1.4401_Schmidt1985</t>
        </is>
      </c>
      <c r="B60" s="53" t="inlineStr">
        <is>
          <t>Schmidt et al. 1985</t>
        </is>
      </c>
      <c r="C60" s="53" t="inlineStr">
        <is>
          <t>T₂</t>
        </is>
      </c>
      <c r="D60" s="53" t="inlineStr">
        <is>
          <t>Schmidt 1985</t>
        </is>
      </c>
      <c r="E60" s="54" t="n">
        <v>1.732051</v>
      </c>
      <c r="F60" s="53" t="inlineStr">
        <is>
          <t>T₂ → H₂: ×√3 = 1.7321</t>
        </is>
      </c>
      <c r="G60" s="53" t="inlineStr">
        <is>
          <t>No (&lt; 15% at 600-1200K)</t>
        </is>
      </c>
      <c r="H60" s="55" t="n">
        <v>5.592792057639905e-09</v>
      </c>
      <c r="I60" s="56" t="n">
        <v>50200</v>
      </c>
      <c r="J60" s="55" t="n">
        <v>7.794228634059947e-07</v>
      </c>
      <c r="K60" s="56" t="n">
        <v>0.03966</v>
      </c>
      <c r="L60" s="56" t="n">
        <v>3000</v>
      </c>
      <c r="M60" s="56" t="n">
        <v>0.05327</v>
      </c>
      <c r="N60" s="55" t="n">
        <v>2.218757084495732e-10</v>
      </c>
      <c r="O60" s="56" t="n">
        <v>53200</v>
      </c>
      <c r="P60" s="55" t="n">
        <v>4.151725785742598e-08</v>
      </c>
      <c r="Q60" s="54" t="n">
        <v>1223</v>
      </c>
      <c r="R60" s="54" t="n">
        <v>1023</v>
      </c>
      <c r="S60" s="54" t="n">
        <v>1223</v>
      </c>
      <c r="T60" s="54" t="n">
        <v>0.005</v>
      </c>
      <c r="U60" s="43" t="inlineStr">
        <is>
          <t>—</t>
        </is>
      </c>
      <c r="V60" s="57" t="inlineStr">
        <is>
          <t>Phi_ref = D_ref * Ks_ref.</t>
        </is>
      </c>
    </row>
    <row r="61" ht="16" customHeight="1">
      <c r="A61" s="232" t="inlineStr">
        <is>
          <t>metal_1.4541_Schmidt1985</t>
        </is>
      </c>
      <c r="B61" s="232" t="inlineStr">
        <is>
          <t>Schmidt et al. 1985</t>
        </is>
      </c>
      <c r="C61" s="232" t="inlineStr">
        <is>
          <t>T₂</t>
        </is>
      </c>
      <c r="D61" s="232" t="inlineStr">
        <is>
          <t>Schmidt 1985</t>
        </is>
      </c>
      <c r="E61" s="233" t="n">
        <v>1.732051</v>
      </c>
      <c r="F61" s="232" t="inlineStr">
        <is>
          <t>T₂ → H₂: ×√3 = 1.7321</t>
        </is>
      </c>
      <c r="G61" s="232" t="inlineStr">
        <is>
          <t>No (&lt; 15% at 600-1200K)</t>
        </is>
      </c>
      <c r="H61" s="190" t="n">
        <v>3.637306695894643e-09</v>
      </c>
      <c r="I61" s="50" t="n">
        <v>56800</v>
      </c>
      <c r="J61" s="190" t="n">
        <v>9.699484522385713e-07</v>
      </c>
      <c r="K61" s="50" t="n">
        <v>0.08383</v>
      </c>
      <c r="L61" s="50" t="n">
        <v>26700</v>
      </c>
      <c r="M61" s="50" t="n">
        <v>1.158</v>
      </c>
      <c r="N61" s="190" t="n">
        <v>3.048409421321224e-10</v>
      </c>
      <c r="O61" s="50" t="n">
        <v>83500</v>
      </c>
      <c r="P61" s="190" t="n">
        <v>1.123408153789174e-06</v>
      </c>
      <c r="Q61" s="233" t="n">
        <v>1223</v>
      </c>
      <c r="R61" s="233" t="n">
        <v>1023</v>
      </c>
      <c r="S61" s="233" t="n">
        <v>1223</v>
      </c>
      <c r="T61" s="233" t="n">
        <v>0.005</v>
      </c>
      <c r="U61" s="43" t="inlineStr">
        <is>
          <t>—</t>
        </is>
      </c>
      <c r="V61" s="52" t="inlineStr">
        <is>
          <t>Phi_ref = D_ref * Ks_ref.</t>
        </is>
      </c>
    </row>
    <row r="62" ht="16" customHeight="1">
      <c r="A62" s="53" t="inlineStr">
        <is>
          <t>metal_1.4571_Schmidt1985</t>
        </is>
      </c>
      <c r="B62" s="53" t="inlineStr">
        <is>
          <t>Schmidt et al. 1985</t>
        </is>
      </c>
      <c r="C62" s="53" t="inlineStr">
        <is>
          <t>T₂</t>
        </is>
      </c>
      <c r="D62" s="53" t="inlineStr">
        <is>
          <t>Schmidt 1985</t>
        </is>
      </c>
      <c r="E62" s="54" t="n">
        <v>1.732051</v>
      </c>
      <c r="F62" s="53" t="inlineStr">
        <is>
          <t>T₂ → H₂: ×√3 = 1.7321</t>
        </is>
      </c>
      <c r="G62" s="53" t="inlineStr">
        <is>
          <t>No (&lt; 15% at 600-1200K)</t>
        </is>
      </c>
      <c r="H62" s="55" t="n">
        <v>3.169652977851045e-09</v>
      </c>
      <c r="I62" s="56" t="n">
        <v>50000</v>
      </c>
      <c r="J62" s="55" t="n">
        <v>4.330127018922193e-07</v>
      </c>
      <c r="K62" s="56" t="n">
        <v>0.1027</v>
      </c>
      <c r="L62" s="56" t="n">
        <v>22100</v>
      </c>
      <c r="M62" s="56" t="n">
        <v>0.9024</v>
      </c>
      <c r="N62" s="55" t="n">
        <v>3.25452346742192e-10</v>
      </c>
      <c r="O62" s="56" t="n">
        <v>72100</v>
      </c>
      <c r="P62" s="55" t="n">
        <v>3.907506621875387e-07</v>
      </c>
      <c r="Q62" s="54" t="n">
        <v>1223</v>
      </c>
      <c r="R62" s="54" t="n">
        <v>1023</v>
      </c>
      <c r="S62" s="54" t="n">
        <v>1223</v>
      </c>
      <c r="T62" s="54" t="n">
        <v>0.005</v>
      </c>
      <c r="U62" s="43" t="inlineStr">
        <is>
          <t>—</t>
        </is>
      </c>
      <c r="V62" s="57" t="inlineStr">
        <is>
          <t>Phi_ref = D_ref * Ks_ref.</t>
        </is>
      </c>
    </row>
    <row r="63" ht="16" customHeight="1">
      <c r="A63" s="232" t="inlineStr">
        <is>
          <t>metal_1.4550_Schmidt1985</t>
        </is>
      </c>
      <c r="B63" s="232" t="inlineStr">
        <is>
          <t>Schmidt et al. 1985</t>
        </is>
      </c>
      <c r="C63" s="232" t="inlineStr">
        <is>
          <t>T₂</t>
        </is>
      </c>
      <c r="D63" s="232" t="inlineStr">
        <is>
          <t>Schmidt 1985</t>
        </is>
      </c>
      <c r="E63" s="233" t="n">
        <v>1.732051</v>
      </c>
      <c r="F63" s="232" t="inlineStr">
        <is>
          <t>T₂ → H₂: ×√3 = 1.7321</t>
        </is>
      </c>
      <c r="G63" s="232" t="inlineStr">
        <is>
          <t>No (&lt; 15% at 600-1200K)</t>
        </is>
      </c>
      <c r="H63" s="190" t="n">
        <v>2.497617264514321e-09</v>
      </c>
      <c r="I63" s="50" t="n">
        <v>53200</v>
      </c>
      <c r="J63" s="190" t="n">
        <v>4.676537180435969e-07</v>
      </c>
      <c r="K63" s="50" t="n">
        <v>0.1024</v>
      </c>
      <c r="L63" s="50" t="n">
        <v>35600</v>
      </c>
      <c r="M63" s="50" t="n">
        <v>3.394</v>
      </c>
      <c r="N63" s="190" t="n">
        <v>2.558239042779232e-10</v>
      </c>
      <c r="O63" s="50" t="n">
        <v>88800</v>
      </c>
      <c r="P63" s="190" t="n">
        <v>1.587424565136876e-06</v>
      </c>
      <c r="Q63" s="233" t="n">
        <v>1223</v>
      </c>
      <c r="R63" s="233" t="n">
        <v>1023</v>
      </c>
      <c r="S63" s="233" t="n">
        <v>1223</v>
      </c>
      <c r="T63" s="233" t="n">
        <v>0.005</v>
      </c>
      <c r="U63" s="43" t="inlineStr">
        <is>
          <t>—</t>
        </is>
      </c>
      <c r="V63" s="52" t="inlineStr">
        <is>
          <t>Phi_ref = D_ref * Ks_ref.</t>
        </is>
      </c>
    </row>
    <row r="64" ht="16" customHeight="1">
      <c r="A64" s="53" t="inlineStr">
        <is>
          <t>metal_1.4580_Schmidt1985</t>
        </is>
      </c>
      <c r="B64" s="53" t="inlineStr">
        <is>
          <t>Schmidt et al. 1985</t>
        </is>
      </c>
      <c r="C64" s="53" t="inlineStr">
        <is>
          <t>T₂</t>
        </is>
      </c>
      <c r="D64" s="53" t="inlineStr">
        <is>
          <t>Schmidt 1985</t>
        </is>
      </c>
      <c r="E64" s="54" t="n">
        <v>1.732051</v>
      </c>
      <c r="F64" s="53" t="inlineStr">
        <is>
          <t>T₂ → H₂: ×√3 = 1.7321</t>
        </is>
      </c>
      <c r="G64" s="53" t="inlineStr">
        <is>
          <t>No (&lt; 15% at 600-1200K)</t>
        </is>
      </c>
      <c r="H64" s="55" t="n">
        <v>2.949682525289798e-09</v>
      </c>
      <c r="I64" s="56" t="n">
        <v>62300</v>
      </c>
      <c r="J64" s="55" t="n">
        <v>1.350999629903724e-06</v>
      </c>
      <c r="K64" s="56" t="n">
        <v>1.036</v>
      </c>
      <c r="L64" s="56" t="n">
        <v>4700</v>
      </c>
      <c r="M64" s="56" t="n">
        <v>1.645</v>
      </c>
      <c r="N64" s="55" t="n">
        <v>3.055337624551499e-09</v>
      </c>
      <c r="O64" s="56" t="n">
        <v>67000</v>
      </c>
      <c r="P64" s="55" t="n">
        <v>2.222221186110869e-06</v>
      </c>
      <c r="Q64" s="54" t="n">
        <v>1223</v>
      </c>
      <c r="R64" s="54" t="n">
        <v>1023</v>
      </c>
      <c r="S64" s="54" t="n">
        <v>1223</v>
      </c>
      <c r="T64" s="54" t="n">
        <v>0.005</v>
      </c>
      <c r="U64" s="43" t="inlineStr">
        <is>
          <t>—</t>
        </is>
      </c>
      <c r="V64" s="57" t="inlineStr">
        <is>
          <t>Phi_ref = D_ref * Ks_ref.</t>
        </is>
      </c>
    </row>
    <row r="65" ht="16" customHeight="1">
      <c r="A65" s="262" t="inlineStr">
        <is>
          <t>metal_X10_NiCrNbAl_30_25_Schmidt1985</t>
        </is>
      </c>
      <c r="B65" s="262" t="inlineStr">
        <is>
          <t>Schmidt et al. 1985</t>
        </is>
      </c>
      <c r="C65" s="262" t="inlineStr">
        <is>
          <t>H₂</t>
        </is>
      </c>
      <c r="D65" s="262" t="inlineStr">
        <is>
          <t>Schmidt 1985</t>
        </is>
      </c>
      <c r="E65" s="263" t="n">
        <v>1</v>
      </c>
      <c r="F65" s="262" t="inlineStr">
        <is>
          <t>No scaling — native H₂</t>
        </is>
      </c>
      <c r="G65" s="262" t="inlineStr">
        <is>
          <t>No (&lt; 15% at 600-1200K)</t>
        </is>
      </c>
      <c r="H65" s="43" t="inlineStr">
        <is>
          <t>—</t>
        </is>
      </c>
      <c r="I65" s="43" t="inlineStr">
        <is>
          <t>—</t>
        </is>
      </c>
      <c r="J65" s="43" t="inlineStr">
        <is>
          <t>—</t>
        </is>
      </c>
      <c r="K65" s="43" t="inlineStr">
        <is>
          <t>—</t>
        </is>
      </c>
      <c r="L65" s="43" t="inlineStr">
        <is>
          <t>—</t>
        </is>
      </c>
      <c r="M65" s="43" t="inlineStr">
        <is>
          <t>—</t>
        </is>
      </c>
      <c r="N65" s="266" t="n">
        <v>9.468000000000001e-10</v>
      </c>
      <c r="O65" s="263" t="n">
        <v>63900</v>
      </c>
      <c r="P65" s="266" t="n">
        <v>5.076e-07</v>
      </c>
      <c r="Q65" s="263" t="n">
        <v>1223</v>
      </c>
      <c r="R65" s="263" t="n">
        <v>1023</v>
      </c>
      <c r="S65" s="263" t="n">
        <v>1223</v>
      </c>
      <c r="T65" s="263" t="n">
        <v>0.005</v>
      </c>
      <c r="U65" s="43" t="inlineStr">
        <is>
          <t>—</t>
        </is>
      </c>
      <c r="V65" s="19" t="inlineStr">
        <is>
          <t>Phi_ref computed from Phi_0 and Q_p via Arrhenius (D_0/Ks_0 unavailable).</t>
        </is>
      </c>
    </row>
    <row r="66" ht="16" customHeight="1">
      <c r="A66" s="264" t="inlineStr">
        <is>
          <t>metal_X10_NiCrNbAlTi_30_25_Schmidt1985</t>
        </is>
      </c>
      <c r="B66" s="264" t="inlineStr">
        <is>
          <t>Schmidt et al. 1985</t>
        </is>
      </c>
      <c r="C66" s="264" t="inlineStr">
        <is>
          <t>H₂</t>
        </is>
      </c>
      <c r="D66" s="264" t="inlineStr">
        <is>
          <t>Schmidt 1985</t>
        </is>
      </c>
      <c r="E66" s="265" t="n">
        <v>1</v>
      </c>
      <c r="F66" s="264" t="inlineStr">
        <is>
          <t>No scaling — native H₂</t>
        </is>
      </c>
      <c r="G66" s="264" t="inlineStr">
        <is>
          <t>No (&lt; 15% at 600-1200K)</t>
        </is>
      </c>
      <c r="H66" s="43" t="inlineStr">
        <is>
          <t>—</t>
        </is>
      </c>
      <c r="I66" s="43" t="inlineStr">
        <is>
          <t>—</t>
        </is>
      </c>
      <c r="J66" s="43" t="inlineStr">
        <is>
          <t>—</t>
        </is>
      </c>
      <c r="K66" s="43" t="inlineStr">
        <is>
          <t>—</t>
        </is>
      </c>
      <c r="L66" s="43" t="inlineStr">
        <is>
          <t>—</t>
        </is>
      </c>
      <c r="M66" s="43" t="inlineStr">
        <is>
          <t>—</t>
        </is>
      </c>
      <c r="N66" s="267" t="n">
        <v>3.156e-10</v>
      </c>
      <c r="O66" s="265" t="n">
        <v>63900</v>
      </c>
      <c r="P66" s="267" t="n">
        <v>1.692e-07</v>
      </c>
      <c r="Q66" s="265" t="n">
        <v>1223</v>
      </c>
      <c r="R66" s="265" t="n">
        <v>1023</v>
      </c>
      <c r="S66" s="265" t="n">
        <v>1223</v>
      </c>
      <c r="T66" s="265" t="n">
        <v>0.005</v>
      </c>
      <c r="U66" s="43" t="inlineStr">
        <is>
          <t>—</t>
        </is>
      </c>
      <c r="V66" s="15" t="inlineStr">
        <is>
          <t>Phi_ref computed from Phi_0 and Q_p via Arrhenius (D_0/Ks_0 unavailable).</t>
        </is>
      </c>
    </row>
    <row r="67" ht="16" customHeight="1">
      <c r="A67" s="262" t="inlineStr">
        <is>
          <t>metal_NiCr_22_FeW_Schmidt1985</t>
        </is>
      </c>
      <c r="B67" s="262" t="inlineStr">
        <is>
          <t>Schmidt et al. 1985</t>
        </is>
      </c>
      <c r="C67" s="262" t="inlineStr">
        <is>
          <t>H₂</t>
        </is>
      </c>
      <c r="D67" s="262" t="inlineStr">
        <is>
          <t>Schmidt 1985</t>
        </is>
      </c>
      <c r="E67" s="263" t="n">
        <v>1</v>
      </c>
      <c r="F67" s="262" t="inlineStr">
        <is>
          <t>No scaling — native H₂</t>
        </is>
      </c>
      <c r="G67" s="262" t="inlineStr">
        <is>
          <t>No (&lt; 15% at 600-1200K)</t>
        </is>
      </c>
      <c r="H67" s="43" t="inlineStr">
        <is>
          <t>—</t>
        </is>
      </c>
      <c r="I67" s="43" t="inlineStr">
        <is>
          <t>—</t>
        </is>
      </c>
      <c r="J67" s="43" t="inlineStr">
        <is>
          <t>—</t>
        </is>
      </c>
      <c r="K67" s="43" t="inlineStr">
        <is>
          <t>—</t>
        </is>
      </c>
      <c r="L67" s="43" t="inlineStr">
        <is>
          <t>—</t>
        </is>
      </c>
      <c r="M67" s="43" t="inlineStr">
        <is>
          <t>—</t>
        </is>
      </c>
      <c r="N67" s="266" t="n">
        <v>3.854e-10</v>
      </c>
      <c r="O67" s="263" t="n">
        <v>46700</v>
      </c>
      <c r="P67" s="266" t="n">
        <v>3.807e-08</v>
      </c>
      <c r="Q67" s="263" t="n">
        <v>1223</v>
      </c>
      <c r="R67" s="263" t="n">
        <v>1023</v>
      </c>
      <c r="S67" s="263" t="n">
        <v>1223</v>
      </c>
      <c r="T67" s="263" t="n">
        <v>0.005</v>
      </c>
      <c r="U67" s="43" t="inlineStr">
        <is>
          <t>—</t>
        </is>
      </c>
      <c r="V67" s="19" t="inlineStr">
        <is>
          <t>Phi_ref computed from Phi_0 and Q_p via Arrhenius (D_0/Ks_0 unavailable).</t>
        </is>
      </c>
    </row>
    <row r="68" ht="16" customHeight="1">
      <c r="A68" s="264" t="inlineStr">
        <is>
          <t>metal_X25_NiCrNb_30_27_Schmidt1985</t>
        </is>
      </c>
      <c r="B68" s="264" t="inlineStr">
        <is>
          <t>Schmidt et al. 1985</t>
        </is>
      </c>
      <c r="C68" s="264" t="inlineStr">
        <is>
          <t>H₂</t>
        </is>
      </c>
      <c r="D68" s="264" t="inlineStr">
        <is>
          <t>Schmidt 1985</t>
        </is>
      </c>
      <c r="E68" s="265" t="n">
        <v>1</v>
      </c>
      <c r="F68" s="264" t="inlineStr">
        <is>
          <t>No scaling — native H₂</t>
        </is>
      </c>
      <c r="G68" s="264" t="inlineStr">
        <is>
          <t>No (&lt; 15% at 600-1200K)</t>
        </is>
      </c>
      <c r="H68" s="43" t="inlineStr">
        <is>
          <t>—</t>
        </is>
      </c>
      <c r="I68" s="43" t="inlineStr">
        <is>
          <t>—</t>
        </is>
      </c>
      <c r="J68" s="43" t="inlineStr">
        <is>
          <t>—</t>
        </is>
      </c>
      <c r="K68" s="43" t="inlineStr">
        <is>
          <t>—</t>
        </is>
      </c>
      <c r="L68" s="43" t="inlineStr">
        <is>
          <t>—</t>
        </is>
      </c>
      <c r="M68" s="43" t="inlineStr">
        <is>
          <t>—</t>
        </is>
      </c>
      <c r="N68" s="267" t="n">
        <v>2.425e-10</v>
      </c>
      <c r="O68" s="265" t="n">
        <v>70700</v>
      </c>
      <c r="P68" s="267" t="n">
        <v>2.538e-07</v>
      </c>
      <c r="Q68" s="265" t="n">
        <v>1223</v>
      </c>
      <c r="R68" s="265" t="n">
        <v>1023</v>
      </c>
      <c r="S68" s="265" t="n">
        <v>1223</v>
      </c>
      <c r="T68" s="265" t="n">
        <v>0.005</v>
      </c>
      <c r="U68" s="43" t="inlineStr">
        <is>
          <t>—</t>
        </is>
      </c>
      <c r="V68" s="15" t="inlineStr">
        <is>
          <t>Phi_ref computed from Phi_0 and Q_p via Arrhenius (D_0/Ks_0 unavailable).</t>
        </is>
      </c>
    </row>
    <row r="69" ht="16" customHeight="1">
      <c r="A69" s="262" t="inlineStr">
        <is>
          <t>metal_X25_NiCrNbCe_30_30_Schmidt1985</t>
        </is>
      </c>
      <c r="B69" s="262" t="inlineStr">
        <is>
          <t>Schmidt et al. 1985</t>
        </is>
      </c>
      <c r="C69" s="262" t="inlineStr">
        <is>
          <t>H₂</t>
        </is>
      </c>
      <c r="D69" s="262" t="inlineStr">
        <is>
          <t>Schmidt 1985</t>
        </is>
      </c>
      <c r="E69" s="263" t="n">
        <v>1</v>
      </c>
      <c r="F69" s="262" t="inlineStr">
        <is>
          <t>No scaling — native H₂</t>
        </is>
      </c>
      <c r="G69" s="262" t="inlineStr">
        <is>
          <t>No (&lt; 15% at 600-1200K)</t>
        </is>
      </c>
      <c r="H69" s="43" t="inlineStr">
        <is>
          <t>—</t>
        </is>
      </c>
      <c r="I69" s="43" t="inlineStr">
        <is>
          <t>—</t>
        </is>
      </c>
      <c r="J69" s="43" t="inlineStr">
        <is>
          <t>—</t>
        </is>
      </c>
      <c r="K69" s="43" t="inlineStr">
        <is>
          <t>—</t>
        </is>
      </c>
      <c r="L69" s="43" t="inlineStr">
        <is>
          <t>—</t>
        </is>
      </c>
      <c r="M69" s="43" t="inlineStr">
        <is>
          <t>—</t>
        </is>
      </c>
      <c r="N69" s="266" t="n">
        <v>7.573e-10</v>
      </c>
      <c r="O69" s="263" t="n">
        <v>135400</v>
      </c>
      <c r="P69" s="266" t="n">
        <v>0.0004597</v>
      </c>
      <c r="Q69" s="263" t="n">
        <v>1223</v>
      </c>
      <c r="R69" s="263" t="n">
        <v>1023</v>
      </c>
      <c r="S69" s="263" t="n">
        <v>1223</v>
      </c>
      <c r="T69" s="263" t="n">
        <v>0.005</v>
      </c>
      <c r="U69" s="43" t="inlineStr">
        <is>
          <t>—</t>
        </is>
      </c>
      <c r="V69" s="19" t="inlineStr">
        <is>
          <t>Oxidation observed. Phi_ref computed from Phi_0 and Q_p via Arrhenius (D_0/Ks_0 unavailable).</t>
        </is>
      </c>
    </row>
    <row r="70" ht="16" customHeight="1">
      <c r="A70" s="264" t="inlineStr">
        <is>
          <t>metal_X25_NiCrCoNb_30_27_Schmidt1985</t>
        </is>
      </c>
      <c r="B70" s="264" t="inlineStr">
        <is>
          <t>Schmidt et al. 1985</t>
        </is>
      </c>
      <c r="C70" s="264" t="inlineStr">
        <is>
          <t>H₂</t>
        </is>
      </c>
      <c r="D70" s="264" t="inlineStr">
        <is>
          <t>Schmidt 1985</t>
        </is>
      </c>
      <c r="E70" s="265" t="n">
        <v>1</v>
      </c>
      <c r="F70" s="264" t="inlineStr">
        <is>
          <t>No scaling — native H₂</t>
        </is>
      </c>
      <c r="G70" s="264" t="inlineStr">
        <is>
          <t>No (&lt; 15% at 600-1200K)</t>
        </is>
      </c>
      <c r="H70" s="43" t="inlineStr">
        <is>
          <t>—</t>
        </is>
      </c>
      <c r="I70" s="43" t="inlineStr">
        <is>
          <t>—</t>
        </is>
      </c>
      <c r="J70" s="43" t="inlineStr">
        <is>
          <t>—</t>
        </is>
      </c>
      <c r="K70" s="43" t="inlineStr">
        <is>
          <t>—</t>
        </is>
      </c>
      <c r="L70" s="43" t="inlineStr">
        <is>
          <t>—</t>
        </is>
      </c>
      <c r="M70" s="43" t="inlineStr">
        <is>
          <t>—</t>
        </is>
      </c>
      <c r="N70" s="267" t="n">
        <v>1.787e-10</v>
      </c>
      <c r="O70" s="265" t="n">
        <v>78300</v>
      </c>
      <c r="P70" s="267" t="n">
        <v>3.948e-07</v>
      </c>
      <c r="Q70" s="265" t="n">
        <v>1223</v>
      </c>
      <c r="R70" s="265" t="n">
        <v>1023</v>
      </c>
      <c r="S70" s="265" t="n">
        <v>1223</v>
      </c>
      <c r="T70" s="265" t="n">
        <v>0.005</v>
      </c>
      <c r="U70" s="43" t="inlineStr">
        <is>
          <t>—</t>
        </is>
      </c>
      <c r="V70" s="15" t="inlineStr">
        <is>
          <t>Phi_ref computed from Phi_0 and Q_p via Arrhenius (D_0/Ks_0 unavailable).</t>
        </is>
      </c>
    </row>
    <row r="71" ht="16" customHeight="1">
      <c r="A71" s="262" t="inlineStr">
        <is>
          <t>metal_X25_NiCrSiNbCe_35_27_Schmidt1985</t>
        </is>
      </c>
      <c r="B71" s="262" t="inlineStr">
        <is>
          <t>Schmidt et al. 1985</t>
        </is>
      </c>
      <c r="C71" s="262" t="inlineStr">
        <is>
          <t>H₂</t>
        </is>
      </c>
      <c r="D71" s="262" t="inlineStr">
        <is>
          <t>Schmidt 1985</t>
        </is>
      </c>
      <c r="E71" s="263" t="n">
        <v>1</v>
      </c>
      <c r="F71" s="262" t="inlineStr">
        <is>
          <t>No scaling — native H₂</t>
        </is>
      </c>
      <c r="G71" s="262" t="inlineStr">
        <is>
          <t>No (&lt; 15% at 600-1200K)</t>
        </is>
      </c>
      <c r="H71" s="43" t="inlineStr">
        <is>
          <t>—</t>
        </is>
      </c>
      <c r="I71" s="43" t="inlineStr">
        <is>
          <t>—</t>
        </is>
      </c>
      <c r="J71" s="43" t="inlineStr">
        <is>
          <t>—</t>
        </is>
      </c>
      <c r="K71" s="43" t="inlineStr">
        <is>
          <t>—</t>
        </is>
      </c>
      <c r="L71" s="43" t="inlineStr">
        <is>
          <t>—</t>
        </is>
      </c>
      <c r="M71" s="43" t="inlineStr">
        <is>
          <t>—</t>
        </is>
      </c>
      <c r="N71" s="266" t="n">
        <v>6.278e-10</v>
      </c>
      <c r="O71" s="263" t="n">
        <v>62100</v>
      </c>
      <c r="P71" s="266" t="n">
        <v>2.82e-07</v>
      </c>
      <c r="Q71" s="263" t="n">
        <v>1223</v>
      </c>
      <c r="R71" s="263" t="n">
        <v>1023</v>
      </c>
      <c r="S71" s="263" t="n">
        <v>1223</v>
      </c>
      <c r="T71" s="263" t="n">
        <v>0.005</v>
      </c>
      <c r="U71" s="43" t="inlineStr">
        <is>
          <t>—</t>
        </is>
      </c>
      <c r="V71" s="19" t="inlineStr">
        <is>
          <t>Phi_ref computed from Phi_0 and Q_p via Arrhenius (D_0/Ks_0 unavailable).</t>
        </is>
      </c>
    </row>
    <row r="72" ht="16" customHeight="1">
      <c r="A72" s="53" t="inlineStr">
        <is>
          <t>metal_Nimonic_PE_13_Schmidt1985</t>
        </is>
      </c>
      <c r="B72" s="53" t="inlineStr">
        <is>
          <t>Schmidt et al. 1985</t>
        </is>
      </c>
      <c r="C72" s="53" t="inlineStr">
        <is>
          <t>T₂</t>
        </is>
      </c>
      <c r="D72" s="53" t="inlineStr">
        <is>
          <t>Schmidt 1985</t>
        </is>
      </c>
      <c r="E72" s="54" t="n">
        <v>1.732051</v>
      </c>
      <c r="F72" s="53" t="inlineStr">
        <is>
          <t>T₂ → H₂: ×√3 = 1.7321</t>
        </is>
      </c>
      <c r="G72" s="53" t="inlineStr">
        <is>
          <t>No (&lt; 15% at 600-1200K)</t>
        </is>
      </c>
      <c r="H72" s="55" t="n">
        <v>3.304752940841418e-09</v>
      </c>
      <c r="I72" s="56" t="n">
        <v>33800</v>
      </c>
      <c r="J72" s="55" t="n">
        <v>9.179869280115049e-08</v>
      </c>
      <c r="K72" s="56" t="n">
        <v>0.06469</v>
      </c>
      <c r="L72" s="56" t="n">
        <v>18500</v>
      </c>
      <c r="M72" s="56" t="n">
        <v>0.3991</v>
      </c>
      <c r="N72" s="55" t="n">
        <v>2.137350696539995e-10</v>
      </c>
      <c r="O72" s="56" t="n">
        <v>52300</v>
      </c>
      <c r="P72" s="55" t="n">
        <v>3.663287458008175e-08</v>
      </c>
      <c r="Q72" s="54" t="n">
        <v>1223</v>
      </c>
      <c r="R72" s="54" t="n">
        <v>1023</v>
      </c>
      <c r="S72" s="54" t="n">
        <v>1223</v>
      </c>
      <c r="T72" s="54" t="n">
        <v>0.005</v>
      </c>
      <c r="U72" s="43" t="inlineStr">
        <is>
          <t>—</t>
        </is>
      </c>
      <c r="V72" s="57" t="inlineStr">
        <is>
          <t>Phi_ref = D_ref * Ks_ref.</t>
        </is>
      </c>
    </row>
    <row r="73" ht="16" customHeight="1">
      <c r="A73" s="262" t="inlineStr">
        <is>
          <t>metal_1.4876_Incoloy800_Schmidt1985_v2</t>
        </is>
      </c>
      <c r="B73" s="262" t="inlineStr">
        <is>
          <t>Forcey et al. — H₂ 600–950°C</t>
        </is>
      </c>
      <c r="C73" s="262" t="inlineStr">
        <is>
          <t>H₂</t>
        </is>
      </c>
      <c r="D73" s="262" t="inlineStr">
        <is>
          <t>Forcey 1988</t>
        </is>
      </c>
      <c r="E73" s="263" t="n">
        <v>1</v>
      </c>
      <c r="F73" s="262" t="inlineStr">
        <is>
          <t>No scaling — native H₂</t>
        </is>
      </c>
      <c r="G73" s="262" t="inlineStr">
        <is>
          <t>No (&lt; 15% at 600-1200K)</t>
        </is>
      </c>
      <c r="H73" s="43" t="inlineStr">
        <is>
          <t>—</t>
        </is>
      </c>
      <c r="I73" s="43" t="inlineStr">
        <is>
          <t>—</t>
        </is>
      </c>
      <c r="J73" s="43" t="inlineStr">
        <is>
          <t>—</t>
        </is>
      </c>
      <c r="K73" s="43" t="inlineStr">
        <is>
          <t>—</t>
        </is>
      </c>
      <c r="L73" s="43" t="inlineStr">
        <is>
          <t>—</t>
        </is>
      </c>
      <c r="M73" s="43" t="inlineStr">
        <is>
          <t>—</t>
        </is>
      </c>
      <c r="N73" s="266" t="n">
        <v>2.884e-09</v>
      </c>
      <c r="O73" s="263" t="n">
        <v>59900</v>
      </c>
      <c r="P73" s="266" t="n">
        <v>1.043e-06</v>
      </c>
      <c r="Q73" s="263" t="n">
        <v>1223</v>
      </c>
      <c r="R73" s="263" t="n">
        <v>873</v>
      </c>
      <c r="S73" s="263" t="n">
        <v>1223</v>
      </c>
      <c r="T73" s="263" t="n">
        <v>0.005</v>
      </c>
      <c r="U73" s="43" t="inlineStr">
        <is>
          <t>—</t>
        </is>
      </c>
      <c r="V73" s="19" t="inlineStr">
        <is>
          <t>Phi_ref computed from Phi_0 and Q_p via Arrhenius (D_0/Ks_0 unavailable).</t>
        </is>
      </c>
    </row>
    <row r="74" ht="16" customHeight="1">
      <c r="A74" s="53" t="inlineStr">
        <is>
          <t>metal_various_D2_100_450C</t>
        </is>
      </c>
      <c r="B74" s="53" t="inlineStr">
        <is>
          <t>Various authors — D₂, 100–450°C</t>
        </is>
      </c>
      <c r="C74" s="53" t="inlineStr">
        <is>
          <t>D₂</t>
        </is>
      </c>
      <c r="D74" s="53" t="inlineStr">
        <is>
          <t>Various</t>
        </is>
      </c>
      <c r="E74" s="54" t="n">
        <v>1.414214</v>
      </c>
      <c r="F74" s="53" t="inlineStr">
        <is>
          <t>D₂ → H₂: ×√2 = 1.4142</t>
        </is>
      </c>
      <c r="G74" s="53" t="inlineStr">
        <is>
          <t>No (&lt; 15% at 600-1200K)</t>
        </is>
      </c>
      <c r="H74" s="55" t="n">
        <v>8.339617377314143e-11</v>
      </c>
      <c r="I74" s="56" t="n">
        <v>54000</v>
      </c>
      <c r="J74" s="55" t="n">
        <v>6.646803743153547e-07</v>
      </c>
      <c r="K74" s="56" t="n">
        <v>0.1334</v>
      </c>
      <c r="L74" s="56" t="n">
        <v>1800</v>
      </c>
      <c r="M74" s="56" t="n">
        <v>0.18</v>
      </c>
      <c r="N74" s="55" t="n">
        <v>1.112703230875151e-11</v>
      </c>
      <c r="O74" s="56" t="n">
        <v>55800</v>
      </c>
      <c r="P74" s="55" t="n">
        <v>1.196424673767639e-07</v>
      </c>
      <c r="Q74" s="54" t="n">
        <v>723</v>
      </c>
      <c r="R74" s="54" t="n">
        <v>373</v>
      </c>
      <c r="S74" s="54" t="n">
        <v>723</v>
      </c>
      <c r="T74" s="54" t="n">
        <v>0.005</v>
      </c>
      <c r="U74" s="43" t="inlineStr">
        <is>
          <t>—</t>
        </is>
      </c>
      <c r="V74" s="57" t="inlineStr">
        <is>
          <t>Phi_ref = D_ref * Ks_ref.</t>
        </is>
      </c>
    </row>
    <row r="75" ht="16" customHeight="1">
      <c r="A75" s="262" t="inlineStr">
        <is>
          <t>metal_AISI_304_Perng_Altstetter</t>
        </is>
      </c>
      <c r="B75" s="262" t="inlineStr">
        <is>
          <t>Perng &amp; Altstetter — AISI 304, H₂ 100–600°C</t>
        </is>
      </c>
      <c r="C75" s="262" t="inlineStr">
        <is>
          <t>H₂</t>
        </is>
      </c>
      <c r="D75" s="262" t="inlineStr">
        <is>
          <t>Perng &amp; Altstetter</t>
        </is>
      </c>
      <c r="E75" s="263" t="n">
        <v>1</v>
      </c>
      <c r="F75" s="262" t="inlineStr">
        <is>
          <t>No scaling — native H₂</t>
        </is>
      </c>
      <c r="G75" s="262" t="inlineStr">
        <is>
          <t>No (&lt; 15% at 600-1200K)</t>
        </is>
      </c>
      <c r="H75" s="266" t="n">
        <v>1.501e-09</v>
      </c>
      <c r="I75" s="263" t="n">
        <v>54400</v>
      </c>
      <c r="J75" s="266" t="n">
        <v>2.7e-06</v>
      </c>
      <c r="K75" s="266" t="n">
        <v>0.00032</v>
      </c>
      <c r="L75" s="263" t="n">
        <v>9600</v>
      </c>
      <c r="M75" s="263" t="n">
        <v>0.001201</v>
      </c>
      <c r="N75" s="266" t="n">
        <v>4.802e-13</v>
      </c>
      <c r="O75" s="263" t="n">
        <v>64000</v>
      </c>
      <c r="P75" s="266" t="n">
        <v>3.243e-09</v>
      </c>
      <c r="Q75" s="263" t="n">
        <v>873</v>
      </c>
      <c r="R75" s="263" t="n">
        <v>373</v>
      </c>
      <c r="S75" s="263" t="n">
        <v>873</v>
      </c>
      <c r="T75" s="263" t="n">
        <v>0.005</v>
      </c>
      <c r="U75" s="43" t="inlineStr">
        <is>
          <t>—</t>
        </is>
      </c>
      <c r="V75" s="19" t="inlineStr">
        <is>
          <t>Phi_ref = D_ref * Ks_ref.</t>
        </is>
      </c>
    </row>
    <row r="76" ht="32" customHeight="1">
      <c r="A76" s="262" t="inlineStr">
        <is>
          <t>metal_AISI_301_Perng_Altstetter</t>
        </is>
      </c>
      <c r="B76" s="262" t="inlineStr">
        <is>
          <t>Perng &amp; Altstetter 1986 — AISI 301 annealed, H₂, Acta Metall. 34(9):1771</t>
        </is>
      </c>
      <c r="C76" s="262" t="inlineStr">
        <is>
          <t>H₂</t>
        </is>
      </c>
      <c r="D76" s="262" t="inlineStr">
        <is>
          <t>Perng &amp; Altstetter 1986</t>
        </is>
      </c>
      <c r="E76" s="263" t="n">
        <v>1</v>
      </c>
      <c r="F76" s="262" t="inlineStr">
        <is>
          <t>No scaling — native H₂</t>
        </is>
      </c>
      <c r="G76" s="262" t="inlineStr">
        <is>
          <t>No (&lt; 15% at 600–1200 K)</t>
        </is>
      </c>
      <c r="H76" s="266" t="n">
        <v>9.765087739697892e-12</v>
      </c>
      <c r="I76" s="263" t="n">
        <v>49200</v>
      </c>
      <c r="J76" s="266" t="n">
        <v>1.3e-07</v>
      </c>
      <c r="K76" s="266" t="n">
        <v>0.05557427285633405</v>
      </c>
      <c r="L76" s="263" t="n">
        <v>5800</v>
      </c>
      <c r="M76" s="263" t="n">
        <v>0.1702424615384616</v>
      </c>
      <c r="N76" s="266" t="n">
        <v>5.42687650512013e-13</v>
      </c>
      <c r="O76" s="263" t="n">
        <v>55000</v>
      </c>
      <c r="P76" s="266" t="n">
        <v>2.213152e-08</v>
      </c>
      <c r="Q76" s="263" t="n">
        <v>623.15</v>
      </c>
      <c r="R76" s="263" t="n">
        <v>373</v>
      </c>
      <c r="S76" s="263" t="n">
        <v>623</v>
      </c>
      <c r="T76" s="266" t="n">
        <v>0.000109</v>
      </c>
      <c r="U76" s="43" t="inlineStr">
        <is>
          <t>—</t>
        </is>
      </c>
      <c r="V76" s="19" t="inlineStr">
        <is>
          <t>Annealed; 3 specimens (81/109/134 µm) gave identical result. No α'. Eqs 6,7.</t>
        </is>
      </c>
    </row>
    <row r="77" ht="32" customHeight="1">
      <c r="A77" s="262" t="inlineStr">
        <is>
          <t>metal_AISI_310_Perng_Altstetter</t>
        </is>
      </c>
      <c r="B77" s="262" t="inlineStr">
        <is>
          <t>Perng &amp; Altstetter 1986 — AISI 310 annealed, H₂, Acta Metall. 34(9):1771</t>
        </is>
      </c>
      <c r="C77" s="262" t="inlineStr">
        <is>
          <t>H₂</t>
        </is>
      </c>
      <c r="D77" s="262" t="inlineStr">
        <is>
          <t>Perng &amp; Altstetter 1986</t>
        </is>
      </c>
      <c r="E77" s="263" t="n">
        <v>1</v>
      </c>
      <c r="F77" s="262" t="inlineStr">
        <is>
          <t>No scaling — native H₂</t>
        </is>
      </c>
      <c r="G77" s="262" t="inlineStr">
        <is>
          <t>No (&lt; 15% at 600–1200 K)</t>
        </is>
      </c>
      <c r="H77" s="266" t="n">
        <v>2.582883732396111e-11</v>
      </c>
      <c r="I77" s="263" t="n">
        <v>53000</v>
      </c>
      <c r="J77" s="266" t="n">
        <v>7.16e-07</v>
      </c>
      <c r="K77" s="266" t="n">
        <v>0.07544638884969572</v>
      </c>
      <c r="L77" s="263" t="n">
        <v>5500</v>
      </c>
      <c r="M77" s="263" t="n">
        <v>0.2181145251396646</v>
      </c>
      <c r="N77" s="266" t="n">
        <v>1.948692504279104e-12</v>
      </c>
      <c r="O77" s="263" t="n">
        <v>58500</v>
      </c>
      <c r="P77" s="266" t="n">
        <v>1.5617e-07</v>
      </c>
      <c r="Q77" s="263" t="n">
        <v>623.15</v>
      </c>
      <c r="R77" s="263" t="n">
        <v>423</v>
      </c>
      <c r="S77" s="263" t="n">
        <v>623</v>
      </c>
      <c r="T77" s="266" t="n">
        <v>0.000175</v>
      </c>
      <c r="U77" s="43" t="inlineStr">
        <is>
          <t>—</t>
        </is>
      </c>
      <c r="V77" s="19" t="inlineStr">
        <is>
          <t>Annealed 175 µm. Stable austenite — no α' up to 80% deformation. Highest Ni here (19.55% Ni, 24.76% Cr). Eqs 12,13.</t>
        </is>
      </c>
    </row>
    <row r="78" ht="32" customHeight="1">
      <c r="A78" s="262" t="inlineStr">
        <is>
          <t>metal_AL29-4-2_Perng_Altstetter</t>
        </is>
      </c>
      <c r="B78" s="262" t="inlineStr">
        <is>
          <t>Perng &amp; Altstetter 1986 — AL 29-4-2 ferritic SS annealed T&gt;170°C, H₂, Acta Metall. 34(9):1771</t>
        </is>
      </c>
      <c r="C78" s="262" t="inlineStr">
        <is>
          <t>H₂</t>
        </is>
      </c>
      <c r="D78" s="262" t="inlineStr">
        <is>
          <t>Perng &amp; Altstetter 1986</t>
        </is>
      </c>
      <c r="E78" s="263" t="n">
        <v>1</v>
      </c>
      <c r="F78" s="262" t="inlineStr">
        <is>
          <t>No scaling — native H₂</t>
        </is>
      </c>
      <c r="G78" s="262" t="inlineStr">
        <is>
          <t>No (&lt; 15% at 600–1200 K)</t>
        </is>
      </c>
      <c r="H78" s="266" t="n">
        <v>1.657272751656437e-09</v>
      </c>
      <c r="I78" s="263" t="n">
        <v>7000</v>
      </c>
      <c r="J78" s="266" t="n">
        <v>6.4e-09</v>
      </c>
      <c r="K78" s="266" t="n">
        <v>0.003577815994764689</v>
      </c>
      <c r="L78" s="263" t="n">
        <v>31400</v>
      </c>
      <c r="M78" s="263" t="n">
        <v>1.5338125</v>
      </c>
      <c r="N78" s="266" t="n">
        <v>5.929416958564087e-12</v>
      </c>
      <c r="O78" s="263" t="n">
        <v>38400</v>
      </c>
      <c r="P78" s="266" t="n">
        <v>9.8164e-09</v>
      </c>
      <c r="Q78" s="263" t="n">
        <v>623.15</v>
      </c>
      <c r="R78" s="263" t="n">
        <v>443</v>
      </c>
      <c r="S78" s="263" t="n">
        <v>623</v>
      </c>
      <c r="T78" s="266" t="n">
        <v>0.000195</v>
      </c>
      <c r="U78" s="43" t="inlineStr">
        <is>
          <t>—</t>
        </is>
      </c>
      <c r="V78" s="19" t="inlineStr">
        <is>
          <t>Ferritic SS, 195 µm, T&gt;170°C only (break in D at ~170°C — trapping below). D ~20-30× lower than pure α-Fe despite identical E_D=7 kJ/mol. Eqs 3,5.</t>
        </is>
      </c>
    </row>
    <row r="79" ht="32" customHeight="1">
      <c r="A79" s="262" t="inlineStr">
        <is>
          <t>metal_AusteniticSS_fit_Perng_Altstetter</t>
        </is>
      </c>
      <c r="B79" s="262" t="inlineStr">
        <is>
          <t>Perng &amp; Altstetter 1986 — General austenitic SS fit (301+302+304+310), H₂, Acta Metall. 34(9):1771</t>
        </is>
      </c>
      <c r="C79" s="262" t="inlineStr">
        <is>
          <t>H₂</t>
        </is>
      </c>
      <c r="D79" s="262" t="inlineStr">
        <is>
          <t>Perng &amp; Altstetter 1986</t>
        </is>
      </c>
      <c r="E79" s="263" t="n">
        <v>1</v>
      </c>
      <c r="F79" s="262" t="inlineStr">
        <is>
          <t>No scaling — native H₂</t>
        </is>
      </c>
      <c r="G79" s="262" t="inlineStr">
        <is>
          <t>No (&lt; 15% at 600–1200 K)</t>
        </is>
      </c>
      <c r="H79" s="266" t="n">
        <v>1.480969784766222e-11</v>
      </c>
      <c r="I79" s="263" t="n">
        <v>49300</v>
      </c>
      <c r="J79" s="266" t="n">
        <v>2.01e-07</v>
      </c>
      <c r="K79" s="266" t="n">
        <v>0.07169586095468904</v>
      </c>
      <c r="L79" s="263" t="n">
        <v>6800</v>
      </c>
      <c r="M79" s="263" t="n">
        <v>0.2663880597014922</v>
      </c>
      <c r="N79" s="266" t="n">
        <v>1.061794037666948e-12</v>
      </c>
      <c r="O79" s="263" t="n">
        <v>56100</v>
      </c>
      <c r="P79" s="266" t="n">
        <v>5.3544e-08</v>
      </c>
      <c r="Q79" s="263" t="n">
        <v>623.15</v>
      </c>
      <c r="R79" s="263" t="n">
        <v>373</v>
      </c>
      <c r="S79" s="263" t="n">
        <v>623</v>
      </c>
      <c r="T79" s="263" t="inlineStr">
        <is>
          <t>—</t>
        </is>
      </c>
      <c r="U79" s="43" t="inlineStr">
        <is>
          <t>—</t>
        </is>
      </c>
      <c r="V79" s="19" t="inlineStr">
        <is>
          <t>Least-squares fit to 4 austenitic alloys. All data within factor 2. Best general reference for austenitic SS class. Eqs 14,15.</t>
        </is>
      </c>
    </row>
    <row r="80" ht="16" customHeight="1">
      <c r="A80" s="53" t="inlineStr">
        <is>
          <t>metal_AISI_304_316_Brass_Chene_grain_boundary</t>
        </is>
      </c>
      <c r="B80" s="53" t="inlineStr">
        <is>
          <t>Brass &amp; Chene — AISI 304/316, grain boundary, T₂ -78–185°C</t>
        </is>
      </c>
      <c r="C80" s="53" t="inlineStr">
        <is>
          <t>T₂</t>
        </is>
      </c>
      <c r="D80" s="53" t="inlineStr">
        <is>
          <t>Brass &amp; Chene</t>
        </is>
      </c>
      <c r="E80" s="54" t="n">
        <v>1.732051</v>
      </c>
      <c r="F80" s="53" t="inlineStr">
        <is>
          <t>T₂ → H₂: ×√3 = 1.7321</t>
        </is>
      </c>
      <c r="G80" s="53" t="inlineStr">
        <is>
          <t>No (&lt; 15% at 600-1200K)</t>
        </is>
      </c>
      <c r="H80" s="55" t="n">
        <v>2.223953236918438e-08</v>
      </c>
      <c r="I80" s="56" t="n">
        <v>42400</v>
      </c>
      <c r="J80" s="59" t="n">
        <v>0.001524204710660612</v>
      </c>
      <c r="K80" s="43" t="inlineStr">
        <is>
          <t>—</t>
        </is>
      </c>
      <c r="L80" s="43" t="inlineStr">
        <is>
          <t>—</t>
        </is>
      </c>
      <c r="M80" s="43" t="inlineStr">
        <is>
          <t>—</t>
        </is>
      </c>
      <c r="N80" s="43" t="inlineStr">
        <is>
          <t>—</t>
        </is>
      </c>
      <c r="O80" s="43" t="inlineStr">
        <is>
          <t>—</t>
        </is>
      </c>
      <c r="P80" s="43" t="inlineStr">
        <is>
          <t>—</t>
        </is>
      </c>
      <c r="Q80" s="54" t="n">
        <v>458</v>
      </c>
      <c r="R80" s="54" t="n">
        <v>195</v>
      </c>
      <c r="S80" s="54" t="n">
        <v>458</v>
      </c>
      <c r="T80" s="54" t="n">
        <v>0.005</v>
      </c>
      <c r="U80" s="43" t="inlineStr">
        <is>
          <t>—</t>
        </is>
      </c>
      <c r="V80" s="57" t="inlineStr">
        <is>
          <t>Grain boundary diffusion. Solubility/permeation data not provided.</t>
        </is>
      </c>
    </row>
    <row r="81">
      <c r="A81" s="232" t="inlineStr">
        <is>
          <t>metal_AISI_304_316_Louthan_Derrick</t>
        </is>
      </c>
      <c r="B81" s="232" t="inlineStr">
        <is>
          <t>Louthan &amp; Derrick — AISI 304/316, T₂ 25–222°C</t>
        </is>
      </c>
      <c r="C81" s="232" t="inlineStr">
        <is>
          <t>T₂</t>
        </is>
      </c>
      <c r="D81" s="232" t="inlineStr">
        <is>
          <t>Louthan et al.</t>
        </is>
      </c>
      <c r="E81" s="233" t="n">
        <v>1.732051</v>
      </c>
      <c r="F81" s="232" t="inlineStr">
        <is>
          <t>T₂ → H₂: ×√3 = 1.7321</t>
        </is>
      </c>
      <c r="G81" s="232" t="inlineStr">
        <is>
          <t>No (&lt; 15% at 600-1200K)</t>
        </is>
      </c>
      <c r="H81" s="190" t="n">
        <v>2.040355851316137e-12</v>
      </c>
      <c r="I81" s="50" t="n">
        <v>58600</v>
      </c>
      <c r="J81" s="190" t="n">
        <v>3.117691453623979e-06</v>
      </c>
      <c r="K81" s="43" t="inlineStr">
        <is>
          <t>—</t>
        </is>
      </c>
      <c r="L81" s="43" t="inlineStr">
        <is>
          <t>—</t>
        </is>
      </c>
      <c r="M81" s="43" t="inlineStr">
        <is>
          <t>—</t>
        </is>
      </c>
      <c r="N81" s="43" t="inlineStr">
        <is>
          <t>—</t>
        </is>
      </c>
      <c r="O81" s="43" t="inlineStr">
        <is>
          <t>—</t>
        </is>
      </c>
      <c r="P81" s="43" t="inlineStr">
        <is>
          <t>—</t>
        </is>
      </c>
      <c r="Q81" s="233" t="n">
        <v>495</v>
      </c>
      <c r="R81" s="233" t="n">
        <v>298</v>
      </c>
      <c r="S81" s="233" t="n">
        <v>495</v>
      </c>
      <c r="T81" s="233" t="n">
        <v>0.005</v>
      </c>
      <c r="U81" s="43" t="inlineStr">
        <is>
          <t>—</t>
        </is>
      </c>
      <c r="V81" s="52" t="inlineStr">
        <is>
          <t>Solubility/permeation data not provided.</t>
        </is>
      </c>
    </row>
    <row r="82">
      <c r="A82" s="53" t="inlineStr">
        <is>
          <t>metal_AISI_304L_Louthan</t>
        </is>
      </c>
      <c r="B82" s="53" t="inlineStr">
        <is>
          <t>Louthan et al. — AISI 304L, T₂ 22–157°C</t>
        </is>
      </c>
      <c r="C82" s="53" t="inlineStr">
        <is>
          <t>T₂</t>
        </is>
      </c>
      <c r="D82" s="53" t="inlineStr">
        <is>
          <t>Louthan et al.</t>
        </is>
      </c>
      <c r="E82" s="54" t="n">
        <v>1.732051</v>
      </c>
      <c r="F82" s="53" t="inlineStr">
        <is>
          <t>T₂ → H₂: ×√3 = 1.7321</t>
        </is>
      </c>
      <c r="G82" s="53" t="inlineStr">
        <is>
          <t>No (&lt; 15% at 600-1200K)</t>
        </is>
      </c>
      <c r="H82" s="55" t="n">
        <v>1.288299390669731e-13</v>
      </c>
      <c r="I82" s="56" t="n">
        <v>54000</v>
      </c>
      <c r="J82" s="55" t="n">
        <v>4.676537180435969e-07</v>
      </c>
      <c r="K82" s="43" t="inlineStr">
        <is>
          <t>—</t>
        </is>
      </c>
      <c r="L82" s="43" t="inlineStr">
        <is>
          <t>—</t>
        </is>
      </c>
      <c r="M82" s="43" t="inlineStr">
        <is>
          <t>—</t>
        </is>
      </c>
      <c r="N82" s="43" t="inlineStr">
        <is>
          <t>—</t>
        </is>
      </c>
      <c r="O82" s="43" t="inlineStr">
        <is>
          <t>—</t>
        </is>
      </c>
      <c r="P82" s="43" t="inlineStr">
        <is>
          <t>—</t>
        </is>
      </c>
      <c r="Q82" s="54" t="n">
        <v>430</v>
      </c>
      <c r="R82" s="54" t="n">
        <v>295</v>
      </c>
      <c r="S82" s="54" t="n">
        <v>430</v>
      </c>
      <c r="T82" s="54" t="n">
        <v>0.005</v>
      </c>
      <c r="U82" s="43" t="inlineStr">
        <is>
          <t>—</t>
        </is>
      </c>
      <c r="V82" s="57" t="inlineStr">
        <is>
          <t>Solubility/permeation data not provided.</t>
        </is>
      </c>
    </row>
    <row r="83">
      <c r="A83" s="262" t="inlineStr">
        <is>
          <t>Incoloy800_JAERI_Forcey</t>
        </is>
      </c>
      <c r="B83" s="262" t="inlineStr">
        <is>
          <t>JAERI-Tech 2002-090; Forcey et al. 1988</t>
        </is>
      </c>
      <c r="C83" s="262" t="inlineStr">
        <is>
          <t>H₂</t>
        </is>
      </c>
      <c r="D83" s="262" t="inlineStr">
        <is>
          <t>Forcey 1988</t>
        </is>
      </c>
      <c r="E83" s="263" t="n">
        <v>1</v>
      </c>
      <c r="F83" s="262" t="inlineStr">
        <is>
          <t>No scaling — native H₂</t>
        </is>
      </c>
      <c r="G83" s="262" t="inlineStr">
        <is>
          <t>No (&lt; 15% at 600-1200K)</t>
        </is>
      </c>
      <c r="H83" s="266" t="n">
        <v>1.43e-09</v>
      </c>
      <c r="I83" s="263" t="n">
        <v>52000</v>
      </c>
      <c r="J83" s="43" t="inlineStr">
        <is>
          <t>—</t>
        </is>
      </c>
      <c r="K83" s="263" t="n">
        <v>0.0592</v>
      </c>
      <c r="L83" s="263" t="n">
        <v>-20000</v>
      </c>
      <c r="M83" s="43" t="inlineStr">
        <is>
          <t>—</t>
        </is>
      </c>
      <c r="N83" s="43" t="inlineStr">
        <is>
          <t>—</t>
        </is>
      </c>
      <c r="O83" s="43" t="inlineStr">
        <is>
          <t>—</t>
        </is>
      </c>
      <c r="P83" s="43" t="inlineStr">
        <is>
          <t>—</t>
        </is>
      </c>
      <c r="Q83" s="263" t="n">
        <v>1073.15</v>
      </c>
      <c r="R83" s="263" t="n">
        <v>873</v>
      </c>
      <c r="S83" s="263" t="n">
        <v>1273</v>
      </c>
      <c r="T83" s="43" t="inlineStr">
        <is>
          <t>—</t>
        </is>
      </c>
      <c r="U83" s="43" t="inlineStr">
        <is>
          <t>—</t>
        </is>
      </c>
      <c r="V83" s="19" t="inlineStr">
        <is>
          <t>Calibrated to experimental permeability data.</t>
        </is>
      </c>
    </row>
    <row r="84">
      <c r="A84" s="264" t="inlineStr">
        <is>
          <t>Fe_alpha_SanMarchi2007</t>
        </is>
      </c>
      <c r="B84" s="264" t="inlineStr">
        <is>
          <t>San Marchi 2007</t>
        </is>
      </c>
      <c r="C84" s="264" t="inlineStr">
        <is>
          <t>H₂</t>
        </is>
      </c>
      <c r="D84" s="264" t="inlineStr">
        <is>
          <t>San Marchi 2007</t>
        </is>
      </c>
      <c r="E84" s="265" t="n">
        <v>1</v>
      </c>
      <c r="F84" s="264" t="inlineStr">
        <is>
          <t>No scaling — native H₂</t>
        </is>
      </c>
      <c r="G84" s="264" t="inlineStr">
        <is>
          <t>No (&lt; 15% at 600-1200K)</t>
        </is>
      </c>
      <c r="H84" s="267" t="n">
        <v>2.5e-08</v>
      </c>
      <c r="I84" s="265" t="n">
        <v>4200</v>
      </c>
      <c r="J84" s="43" t="inlineStr">
        <is>
          <t>—</t>
        </is>
      </c>
      <c r="K84" s="265" t="n">
        <v>0.12</v>
      </c>
      <c r="L84" s="265" t="n">
        <v>28600</v>
      </c>
      <c r="M84" s="43" t="inlineStr">
        <is>
          <t>—</t>
        </is>
      </c>
      <c r="N84" s="43" t="inlineStr">
        <is>
          <t>—</t>
        </is>
      </c>
      <c r="O84" s="43" t="inlineStr">
        <is>
          <t>—</t>
        </is>
      </c>
      <c r="P84" s="43" t="inlineStr">
        <is>
          <t>—</t>
        </is>
      </c>
      <c r="Q84" s="265" t="n">
        <v>1073.15</v>
      </c>
      <c r="R84" s="265" t="n">
        <v>298</v>
      </c>
      <c r="S84" s="265" t="n">
        <v>1173</v>
      </c>
      <c r="T84" s="43" t="inlineStr">
        <is>
          <t>—</t>
        </is>
      </c>
      <c r="U84" s="43" t="inlineStr">
        <is>
          <t>—</t>
        </is>
      </c>
      <c r="V84" s="15" t="inlineStr">
        <is>
          <t>nan</t>
        </is>
      </c>
    </row>
    <row r="87">
      <c r="A87" s="60" t="inlineStr">
        <is>
          <t>LEGEND</t>
        </is>
      </c>
    </row>
    <row r="88">
      <c r="A88" s="61" t="inlineStr">
        <is>
          <t>Green bold</t>
        </is>
      </c>
      <c r="B88" s="62" t="inlineStr">
        <is>
          <t>Scaled value — multiplied by √(m_iso/m_H)</t>
        </is>
      </c>
    </row>
    <row r="89">
      <c r="A89" s="61" t="inlineStr">
        <is>
          <t>Grey italic</t>
        </is>
      </c>
      <c r="B89" s="62" t="inlineStr">
        <is>
          <t>Unchanged parameter — E_D, Q_p, H_s, Ks are isotope-independent</t>
        </is>
      </c>
    </row>
    <row r="90">
      <c r="A90" s="61" t="inlineStr">
        <is>
          <t>White row</t>
        </is>
      </c>
      <c r="B90" s="62" t="inlineStr">
        <is>
          <t>Native H₂ measurement — no scaling applied</t>
        </is>
      </c>
    </row>
  </sheetData>
  <mergeCells count="8">
    <mergeCell ref="A1:Z1"/>
    <mergeCell ref="Q3:U3"/>
    <mergeCell ref="V3"/>
    <mergeCell ref="A3:D3"/>
    <mergeCell ref="E3:G3"/>
    <mergeCell ref="A2:Z2"/>
    <mergeCell ref="H3:M3"/>
    <mergeCell ref="N3:P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G58"/>
  <sheetViews>
    <sheetView showGridLines="0" workbookViewId="0">
      <selection activeCell="A1" sqref="A1"/>
    </sheetView>
  </sheetViews>
  <sheetFormatPr baseColWidth="8" defaultRowHeight="15"/>
  <cols>
    <col width="3" customWidth="1" min="1" max="1"/>
    <col width="34" customWidth="1" min="2" max="2"/>
    <col width="22" customWidth="1" min="3" max="3"/>
    <col width="22" customWidth="1" min="4" max="4"/>
    <col width="22" customWidth="1" min="5" max="5"/>
    <col width="22" customWidth="1" min="6" max="6"/>
    <col width="30" customWidth="1" min="7" max="7"/>
  </cols>
  <sheetData>
    <row r="1" ht="28" customHeight="1">
      <c r="B1" s="63" t="inlineStr">
        <is>
          <t>Isotope Scaling Methodology — H₂ Equivalents from D₂ and T₂ Data</t>
        </is>
      </c>
    </row>
    <row r="2" ht="20" customHeight="1">
      <c r="B2" s="64" t="inlineStr">
        <is>
          <t>Classical transition-state theory scaling. Valid for T &gt;&gt; 150 K (quantum crossover). Applied to Metals_Bulk_H2 sheet. Documented for thesis methods section.</t>
        </is>
      </c>
    </row>
    <row r="4" ht="20" customHeight="1">
      <c r="B4" s="65" t="inlineStr">
        <is>
          <t>1.  Physical Basis — Classical Transition State Theory</t>
        </is>
      </c>
    </row>
    <row r="5" ht="18" customHeight="1">
      <c r="B5" s="66" t="inlineStr">
        <is>
          <t>All hydrogen isotopes (H, D, T) sit in the same interstitial potential energy landscape. The barrier height E_D is determined by the host lattice electron density — not by isotope mass. What differs is the attempt frequency ν, which governs how often the isotope tries to hop over the barrier per unit time.</t>
        </is>
      </c>
    </row>
    <row r="6" ht="18" customHeight="1">
      <c r="B6" s="67" t="inlineStr">
        <is>
          <t>Attempt frequency:    ν ∝ √(k_eff / m)    where k_eff = lattice spring constant, m = isotope mass</t>
        </is>
      </c>
    </row>
    <row r="7" ht="18" customHeight="1">
      <c r="B7" s="67" t="inlineStr">
        <is>
          <t>Pre-exponential:      D_0 ∝ ν × (jump distance)²  →  D_0 ∝ m^(−½)</t>
        </is>
      </c>
    </row>
    <row r="8" ht="18" customHeight="1">
      <c r="B8" s="68" t="inlineStr">
        <is>
          <t>Therefore:  D_0,H / D_0,D = √(m_D/m_H) = √2      D_0,H / D_0,T = √(m_T/m_H) = √3</t>
        </is>
      </c>
    </row>
    <row r="10" ht="20" customHeight="1">
      <c r="B10" s="65" t="inlineStr">
        <is>
          <t>2.  Scaling Factors</t>
        </is>
      </c>
    </row>
    <row r="11" ht="28" customHeight="1">
      <c r="B11" s="10" t="inlineStr">
        <is>
          <t>Conversion</t>
        </is>
      </c>
      <c r="C11" s="10" t="inlineStr">
        <is>
          <t>Exact formula</t>
        </is>
      </c>
      <c r="D11" s="10" t="inlineStr">
        <is>
          <t>Numerical value</t>
        </is>
      </c>
      <c r="E11" s="10" t="inlineStr">
        <is>
          <t>Applies to</t>
        </is>
      </c>
      <c r="F11" s="10" t="inlineStr">
        <is>
          <t>Does NOT apply to</t>
        </is>
      </c>
      <c r="G11" s="10" t="inlineStr">
        <is>
          <t>Validity condition</t>
        </is>
      </c>
    </row>
    <row r="12" ht="16" customHeight="1">
      <c r="B12" s="160" t="inlineStr">
        <is>
          <t>D₂ → H₂</t>
        </is>
      </c>
      <c r="C12" s="160" t="inlineStr">
        <is>
          <t>×√(m_D/m_H) = ×√2</t>
        </is>
      </c>
      <c r="D12" s="160" t="inlineStr">
        <is>
          <t>1.414214</t>
        </is>
      </c>
      <c r="E12" s="160" t="inlineStr">
        <is>
          <t>D_ref, D_0, Phi_ref, Phi_0</t>
        </is>
      </c>
      <c r="F12" s="160" t="inlineStr">
        <is>
          <t>E_D, Q_p, H_s, Ks_ref, K_s0</t>
        </is>
      </c>
      <c r="G12" s="160" t="inlineStr">
        <is>
          <t>T &gt; 150 K (classical limit)</t>
        </is>
      </c>
    </row>
    <row r="13" ht="16" customHeight="1">
      <c r="B13" s="162" t="inlineStr">
        <is>
          <t>T₂ → H₂</t>
        </is>
      </c>
      <c r="C13" s="162" t="inlineStr">
        <is>
          <t>×√(m_T/m_H) = ×√3</t>
        </is>
      </c>
      <c r="D13" s="162" t="inlineStr">
        <is>
          <t>1.732051</t>
        </is>
      </c>
      <c r="E13" s="162" t="inlineStr">
        <is>
          <t>D_ref, D_0, Phi_ref, Phi_0</t>
        </is>
      </c>
      <c r="F13" s="162" t="inlineStr">
        <is>
          <t>E_D, Q_p, H_s, Ks_ref, K_s0</t>
        </is>
      </c>
      <c r="G13" s="162" t="inlineStr">
        <is>
          <t>T &gt; 185 K (classical limit)</t>
        </is>
      </c>
    </row>
    <row r="14" ht="16" customHeight="1">
      <c r="B14" s="160" t="inlineStr">
        <is>
          <t>T₂ → D₂</t>
        </is>
      </c>
      <c r="C14" s="160" t="inlineStr">
        <is>
          <t>×√(m_T/m_D) = ×√(3/2)</t>
        </is>
      </c>
      <c r="D14" s="160" t="inlineStr">
        <is>
          <t>1.224745</t>
        </is>
      </c>
      <c r="E14" s="160" t="inlineStr">
        <is>
          <t>D_ref, D_0, Phi_ref, Phi_0</t>
        </is>
      </c>
      <c r="F14" s="160" t="inlineStr">
        <is>
          <t>E_D, Q_p, H_s, Ks_ref, K_s0</t>
        </is>
      </c>
      <c r="G14" s="160" t="inlineStr">
        <is>
          <t>T &gt; 150 K (classical limit)</t>
        </is>
      </c>
    </row>
    <row r="15" ht="16" customHeight="1">
      <c r="B15" s="162" t="inlineStr">
        <is>
          <t>H₂ (native)</t>
        </is>
      </c>
      <c r="C15" s="162" t="inlineStr">
        <is>
          <t>×1 (no change)</t>
        </is>
      </c>
      <c r="D15" s="162" t="inlineStr">
        <is>
          <t>1.000000</t>
        </is>
      </c>
      <c r="E15" s="162" t="inlineStr">
        <is>
          <t>All parameters carried as-is</t>
        </is>
      </c>
      <c r="F15" s="162" t="inlineStr">
        <is>
          <t>—</t>
        </is>
      </c>
      <c r="G15" s="162" t="inlineStr">
        <is>
          <t>N/A</t>
        </is>
      </c>
    </row>
    <row r="17" ht="20" customHeight="1">
      <c r="B17" s="65" t="inlineStr">
        <is>
          <t>3.  Parameter-by-Parameter Rules</t>
        </is>
      </c>
    </row>
    <row r="18" ht="28" customHeight="1">
      <c r="B18" s="10" t="inlineStr">
        <is>
          <t>Parameter</t>
        </is>
      </c>
      <c r="C18" s="10" t="inlineStr">
        <is>
          <t>Symbol</t>
        </is>
      </c>
      <c r="D18" s="10" t="inlineStr">
        <is>
          <t>Scaled?</t>
        </is>
      </c>
      <c r="E18" s="10" t="inlineStr">
        <is>
          <t>D₂→H₂ factor</t>
        </is>
      </c>
      <c r="F18" s="10" t="inlineStr">
        <is>
          <t>T₂→H₂ factor</t>
        </is>
      </c>
      <c r="G18" s="10" t="inlineStr">
        <is>
          <t>Scientific justification</t>
        </is>
      </c>
    </row>
    <row r="19" ht="20" customHeight="1">
      <c r="B19" s="71" t="inlineStr">
        <is>
          <t>Diffusivity at T_ref</t>
        </is>
      </c>
      <c r="C19" s="71" t="inlineStr">
        <is>
          <t>D_ref</t>
        </is>
      </c>
      <c r="D19" s="72" t="inlineStr">
        <is>
          <t>YES — ×√m</t>
        </is>
      </c>
      <c r="E19" s="71" t="inlineStr">
        <is>
          <t>×1.4142</t>
        </is>
      </c>
      <c r="F19" s="71" t="inlineStr">
        <is>
          <t>×1.7321</t>
        </is>
      </c>
      <c r="G19" s="71" t="inlineStr">
        <is>
          <t>Proportional to attempt frequency ν ∝ m^(−½)</t>
        </is>
      </c>
    </row>
    <row r="20" ht="20" customHeight="1">
      <c r="B20" s="73" t="inlineStr">
        <is>
          <t>Diffusivity pre-exponential</t>
        </is>
      </c>
      <c r="C20" s="73" t="inlineStr">
        <is>
          <t>D_0</t>
        </is>
      </c>
      <c r="D20" s="74" t="inlineStr">
        <is>
          <t>YES — ×√m</t>
        </is>
      </c>
      <c r="E20" s="73" t="inlineStr">
        <is>
          <t>×1.4142</t>
        </is>
      </c>
      <c r="F20" s="73" t="inlineStr">
        <is>
          <t>×1.7321</t>
        </is>
      </c>
      <c r="G20" s="73" t="inlineStr">
        <is>
          <t>Same as D_ref — both arise from ν × l²</t>
        </is>
      </c>
    </row>
    <row r="21" ht="20" customHeight="1">
      <c r="B21" s="71" t="inlineStr">
        <is>
          <t>Permeability at T_ref</t>
        </is>
      </c>
      <c r="C21" s="71" t="inlineStr">
        <is>
          <t>Phi_ref</t>
        </is>
      </c>
      <c r="D21" s="72" t="inlineStr">
        <is>
          <t>YES — ×√m</t>
        </is>
      </c>
      <c r="E21" s="71" t="inlineStr">
        <is>
          <t>×1.4142</t>
        </is>
      </c>
      <c r="F21" s="71" t="inlineStr">
        <is>
          <t>×1.7321</t>
        </is>
      </c>
      <c r="G21" s="71" t="inlineStr">
        <is>
          <t>Phi = D × Ks; D scales, Ks unchanged → Phi scales</t>
        </is>
      </c>
    </row>
    <row r="22" ht="20" customHeight="1">
      <c r="B22" s="73" t="inlineStr">
        <is>
          <t>Permeability pre-exponential</t>
        </is>
      </c>
      <c r="C22" s="73" t="inlineStr">
        <is>
          <t>Phi_0</t>
        </is>
      </c>
      <c r="D22" s="74" t="inlineStr">
        <is>
          <t>YES — ×√m</t>
        </is>
      </c>
      <c r="E22" s="73" t="inlineStr">
        <is>
          <t>×1.4142</t>
        </is>
      </c>
      <c r="F22" s="73" t="inlineStr">
        <is>
          <t>×1.7321</t>
        </is>
      </c>
      <c r="G22" s="73" t="inlineStr">
        <is>
          <t>Same as Phi_ref</t>
        </is>
      </c>
    </row>
    <row r="23" ht="20" customHeight="1">
      <c r="B23" s="71" t="inlineStr">
        <is>
          <t>Diffusion activation energy</t>
        </is>
      </c>
      <c r="C23" s="71" t="inlineStr">
        <is>
          <t>E_D</t>
        </is>
      </c>
      <c r="D23" s="71" t="inlineStr">
        <is>
          <t>NO</t>
        </is>
      </c>
      <c r="E23" s="71" t="inlineStr">
        <is>
          <t>×1.0000</t>
        </is>
      </c>
      <c r="F23" s="71" t="inlineStr">
        <is>
          <t>×1.0000</t>
        </is>
      </c>
      <c r="G23" s="71" t="inlineStr">
        <is>
          <t>Set by host lattice PES — independent of isotope mass</t>
        </is>
      </c>
    </row>
    <row r="24" ht="20" customHeight="1">
      <c r="B24" s="73" t="inlineStr">
        <is>
          <t>Permeation activation energy</t>
        </is>
      </c>
      <c r="C24" s="73" t="inlineStr">
        <is>
          <t>Q_p</t>
        </is>
      </c>
      <c r="D24" s="73" t="inlineStr">
        <is>
          <t>NO</t>
        </is>
      </c>
      <c r="E24" s="73" t="inlineStr">
        <is>
          <t>×1.0000</t>
        </is>
      </c>
      <c r="F24" s="73" t="inlineStr">
        <is>
          <t>×1.0000</t>
        </is>
      </c>
      <c r="G24" s="73" t="inlineStr">
        <is>
          <t>Q_p = E_D + H_s — neither component changes</t>
        </is>
      </c>
    </row>
    <row r="25" ht="20" customHeight="1">
      <c r="B25" s="71" t="inlineStr">
        <is>
          <t>Heat of solution</t>
        </is>
      </c>
      <c r="C25" s="71" t="inlineStr">
        <is>
          <t>H_s</t>
        </is>
      </c>
      <c r="D25" s="71" t="inlineStr">
        <is>
          <t>NO</t>
        </is>
      </c>
      <c r="E25" s="71" t="inlineStr">
        <is>
          <t>×1.0000</t>
        </is>
      </c>
      <c r="F25" s="71" t="inlineStr">
        <is>
          <t>×1.0000</t>
        </is>
      </c>
      <c r="G25" s="71" t="inlineStr">
        <is>
          <t>Thermodynamic property of lattice — mass-independent</t>
        </is>
      </c>
    </row>
    <row r="26" ht="20" customHeight="1">
      <c r="B26" s="73" t="inlineStr">
        <is>
          <t>Sieverts constant at T_ref</t>
        </is>
      </c>
      <c r="C26" s="73" t="inlineStr">
        <is>
          <t>Ks_ref</t>
        </is>
      </c>
      <c r="D26" s="73" t="inlineStr">
        <is>
          <t>NO*</t>
        </is>
      </c>
      <c r="E26" s="73" t="inlineStr">
        <is>
          <t>×1.0000</t>
        </is>
      </c>
      <c r="F26" s="73" t="inlineStr">
        <is>
          <t>×1.0000</t>
        </is>
      </c>
      <c r="G26" s="73" t="inlineStr">
        <is>
          <t>* ZPE correction ~7-15% at 600-1200K — negligible vs source uncertainty</t>
        </is>
      </c>
    </row>
    <row r="27" ht="20" customHeight="1">
      <c r="B27" s="71" t="inlineStr">
        <is>
          <t>Solubility pre-exponential</t>
        </is>
      </c>
      <c r="C27" s="71" t="inlineStr">
        <is>
          <t>K_s0</t>
        </is>
      </c>
      <c r="D27" s="71" t="inlineStr">
        <is>
          <t>NO*</t>
        </is>
      </c>
      <c r="E27" s="71" t="inlineStr">
        <is>
          <t>×1.0000</t>
        </is>
      </c>
      <c r="F27" s="71" t="inlineStr">
        <is>
          <t>×1.0000</t>
        </is>
      </c>
      <c r="G27" s="71" t="inlineStr">
        <is>
          <t>* Same ZPE argument as Ks_ref</t>
        </is>
      </c>
    </row>
    <row r="29" ht="20" customHeight="1">
      <c r="B29" s="65" t="inlineStr">
        <is>
          <t>4.  ZPE Correction to Solubility — Why It Is Neglected</t>
        </is>
      </c>
    </row>
    <row r="30" ht="18" customHeight="1">
      <c r="B30" s="66" t="inlineStr">
        <is>
          <t>The Sieverts constant Ks has a small isotope dependence via zero-point energy (ZPE). For the solution reaction ½X₂(gas) → X(dissolved), the net ZPE difference between H and D is ΔZPE = −0.68 kJ/mol (full gas+dissolved balance using ħω_H = 70 meV for Ni alloys). This gives Ks,H / Ks,D = exp(−ΔZPE / RT). The correction is largest at low T and shrinks with increasing T.</t>
        </is>
      </c>
    </row>
    <row r="31" ht="28" customHeight="1">
      <c r="B31" s="10" t="inlineStr">
        <is>
          <t>T (K)</t>
        </is>
      </c>
      <c r="C31" s="10" t="inlineStr">
        <is>
          <t>Ks,H / Ks,D</t>
        </is>
      </c>
      <c r="D31" s="10" t="inlineStr">
        <is>
          <t>Correction %</t>
        </is>
      </c>
      <c r="E31" s="10" t="inlineStr">
        <is>
          <t>Assessment</t>
        </is>
      </c>
      <c r="F31" s="10" t="inlineStr">
        <is>
          <t>Your range?</t>
        </is>
      </c>
      <c r="G31" s="10" t="inlineStr">
        <is>
          <t>Decision</t>
        </is>
      </c>
    </row>
    <row r="32" ht="16" customHeight="1">
      <c r="B32" s="165" t="n">
        <v>500</v>
      </c>
      <c r="C32" s="165" t="n">
        <v>1.1772</v>
      </c>
      <c r="D32" s="160" t="inlineStr">
        <is>
          <t>+17.7%</t>
        </is>
      </c>
      <c r="E32" s="160" t="inlineStr">
        <is>
          <t>Moderate</t>
        </is>
      </c>
      <c r="F32" s="160" t="inlineStr">
        <is>
          <t>Edge</t>
        </is>
      </c>
      <c r="G32" s="160" t="inlineStr">
        <is>
          <t>Consider</t>
        </is>
      </c>
    </row>
    <row r="33" ht="16" customHeight="1">
      <c r="B33" s="167" t="n">
        <v>600</v>
      </c>
      <c r="C33" s="167" t="n">
        <v>1.1456</v>
      </c>
      <c r="D33" s="162" t="inlineStr">
        <is>
          <t>+14.6%</t>
        </is>
      </c>
      <c r="E33" s="162" t="inlineStr">
        <is>
          <t>Small</t>
        </is>
      </c>
      <c r="F33" s="162" t="inlineStr">
        <is>
          <t>Yes</t>
        </is>
      </c>
      <c r="G33" s="162" t="inlineStr">
        <is>
          <t>Neglect</t>
        </is>
      </c>
    </row>
    <row r="34" ht="16" customHeight="1">
      <c r="B34" s="165" t="n">
        <v>700</v>
      </c>
      <c r="C34" s="165" t="n">
        <v>1.1236</v>
      </c>
      <c r="D34" s="160" t="inlineStr">
        <is>
          <t>+12.4%</t>
        </is>
      </c>
      <c r="E34" s="160" t="inlineStr">
        <is>
          <t>Small</t>
        </is>
      </c>
      <c r="F34" s="160" t="inlineStr">
        <is>
          <t>Yes</t>
        </is>
      </c>
      <c r="G34" s="160" t="inlineStr">
        <is>
          <t>Neglect</t>
        </is>
      </c>
    </row>
    <row r="35" ht="16" customHeight="1">
      <c r="B35" s="167" t="n">
        <v>800</v>
      </c>
      <c r="C35" s="167" t="n">
        <v>1.1074</v>
      </c>
      <c r="D35" s="162" t="inlineStr">
        <is>
          <t>+10.7%</t>
        </is>
      </c>
      <c r="E35" s="162" t="inlineStr">
        <is>
          <t>Small</t>
        </is>
      </c>
      <c r="F35" s="162" t="inlineStr">
        <is>
          <t>Yes</t>
        </is>
      </c>
      <c r="G35" s="162" t="inlineStr">
        <is>
          <t>Neglect</t>
        </is>
      </c>
    </row>
    <row r="36" ht="16" customHeight="1">
      <c r="B36" s="165" t="n">
        <v>900</v>
      </c>
      <c r="C36" s="165" t="n">
        <v>1.0949</v>
      </c>
      <c r="D36" s="160" t="inlineStr">
        <is>
          <t>+9.5%</t>
        </is>
      </c>
      <c r="E36" s="160" t="inlineStr">
        <is>
          <t>Small</t>
        </is>
      </c>
      <c r="F36" s="160" t="inlineStr">
        <is>
          <t>Yes</t>
        </is>
      </c>
      <c r="G36" s="160" t="inlineStr">
        <is>
          <t>Neglect</t>
        </is>
      </c>
    </row>
    <row r="37" ht="16" customHeight="1">
      <c r="B37" s="167" t="n">
        <v>1000</v>
      </c>
      <c r="C37" s="167" t="n">
        <v>1.085</v>
      </c>
      <c r="D37" s="162" t="inlineStr">
        <is>
          <t>+8.5%</t>
        </is>
      </c>
      <c r="E37" s="162" t="inlineStr">
        <is>
          <t>Small</t>
        </is>
      </c>
      <c r="F37" s="162" t="inlineStr">
        <is>
          <t>Yes</t>
        </is>
      </c>
      <c r="G37" s="162" t="inlineStr">
        <is>
          <t>Neglect</t>
        </is>
      </c>
    </row>
    <row r="38" ht="16" customHeight="1">
      <c r="B38" s="165" t="n">
        <v>1073</v>
      </c>
      <c r="C38" s="165" t="n">
        <v>1.079</v>
      </c>
      <c r="D38" s="160" t="inlineStr">
        <is>
          <t>+7.9%</t>
        </is>
      </c>
      <c r="E38" s="160" t="inlineStr">
        <is>
          <t>Small</t>
        </is>
      </c>
      <c r="F38" s="160" t="inlineStr">
        <is>
          <t>Yes</t>
        </is>
      </c>
      <c r="G38" s="160" t="inlineStr">
        <is>
          <t>Neglect</t>
        </is>
      </c>
    </row>
    <row r="39" ht="16" customHeight="1">
      <c r="B39" s="167" t="n">
        <v>1173</v>
      </c>
      <c r="C39" s="167" t="n">
        <v>1.072</v>
      </c>
      <c r="D39" s="162" t="inlineStr">
        <is>
          <t>+7.2%</t>
        </is>
      </c>
      <c r="E39" s="162" t="inlineStr">
        <is>
          <t>Small</t>
        </is>
      </c>
      <c r="F39" s="162" t="inlineStr">
        <is>
          <t>Yes</t>
        </is>
      </c>
      <c r="G39" s="162" t="inlineStr">
        <is>
          <t>Neglect</t>
        </is>
      </c>
    </row>
    <row r="40" ht="16" customHeight="1">
      <c r="B40" s="165" t="n">
        <v>1223</v>
      </c>
      <c r="C40" s="165" t="n">
        <v>1.069</v>
      </c>
      <c r="D40" s="160" t="inlineStr">
        <is>
          <t>+6.9%</t>
        </is>
      </c>
      <c r="E40" s="160" t="inlineStr">
        <is>
          <t>Small</t>
        </is>
      </c>
      <c r="F40" s="160" t="inlineStr">
        <is>
          <t>Edge</t>
        </is>
      </c>
      <c r="G40" s="160" t="inlineStr">
        <is>
          <t>Neglect</t>
        </is>
      </c>
    </row>
    <row r="41" ht="18" customHeight="1">
      <c r="B41" s="77" t="inlineStr">
        <is>
          <t>Conclusion: ZPE correction is ≤ 15% across the entire operating range 600–1200 K. Source data uncertainty is typically ×2–3 (Strehlow 1974) to ×10% (Forcey 1988). Standard practice in TMAP7, ITER database, and San Marchi 2007: treat Ks as isotope-independent. Applied here: Ks_ref and K_s0 are carried unchanged from D₂/T₂ sources.</t>
        </is>
      </c>
    </row>
    <row r="43" ht="20" customHeight="1">
      <c r="B43" s="65" t="inlineStr">
        <is>
          <t>5.  Dataset Composition — Entries by Gas</t>
        </is>
      </c>
    </row>
    <row r="44" ht="28" customHeight="1">
      <c r="B44" s="10" t="inlineStr">
        <is>
          <t>Original gas</t>
        </is>
      </c>
      <c r="C44" s="10" t="inlineStr">
        <is>
          <t>No. entries</t>
        </is>
      </c>
      <c r="D44" s="10" t="inlineStr">
        <is>
          <t>Scale factor</t>
        </is>
      </c>
      <c r="E44" s="10" t="inlineStr">
        <is>
          <t>Scaled value</t>
        </is>
      </c>
      <c r="F44" s="10" t="inlineStr">
        <is>
          <t>% of database</t>
        </is>
      </c>
      <c r="G44" s="10" t="inlineStr">
        <is>
          <t>Primary sources</t>
        </is>
      </c>
    </row>
    <row r="45" ht="16" customHeight="1">
      <c r="B45" s="160" t="inlineStr">
        <is>
          <t>H₂</t>
        </is>
      </c>
      <c r="C45" s="165" t="n">
        <v>26</v>
      </c>
      <c r="D45" s="160" t="inlineStr">
        <is>
          <t>1.0000 (none)</t>
        </is>
      </c>
      <c r="E45" s="160" t="inlineStr">
        <is>
          <t>As measured</t>
        </is>
      </c>
      <c r="F45" s="160" t="inlineStr">
        <is>
          <t>34%</t>
        </is>
      </c>
      <c r="G45" s="160" t="inlineStr">
        <is>
          <t>Forcey 1988, Grant 1988, Schmidt 1985 (partial), San Marchi 2007</t>
        </is>
      </c>
    </row>
    <row r="46" ht="16" customHeight="1">
      <c r="B46" s="162" t="inlineStr">
        <is>
          <t>D₂</t>
        </is>
      </c>
      <c r="C46" s="167" t="n">
        <v>26</v>
      </c>
      <c r="D46" s="162" t="inlineStr">
        <is>
          <t>1.4142 (×√2)</t>
        </is>
      </c>
      <c r="E46" s="162" t="inlineStr">
        <is>
          <t>D_ref/Phi_ref × √2</t>
        </is>
      </c>
      <c r="F46" s="162" t="inlineStr">
        <is>
          <t>34%</t>
        </is>
      </c>
      <c r="G46" s="162" t="inlineStr">
        <is>
          <t>Strehlow 1974, Rohrig 1975, Various</t>
        </is>
      </c>
    </row>
    <row r="47" ht="16" customHeight="1">
      <c r="B47" s="160" t="inlineStr">
        <is>
          <t>T₂</t>
        </is>
      </c>
      <c r="C47" s="165" t="n">
        <v>24</v>
      </c>
      <c r="D47" s="160" t="inlineStr">
        <is>
          <t>1.7321 (×√3)</t>
        </is>
      </c>
      <c r="E47" s="160" t="inlineStr">
        <is>
          <t>D_ref/Phi_ref × √3</t>
        </is>
      </c>
      <c r="F47" s="160" t="inlineStr">
        <is>
          <t>32%</t>
        </is>
      </c>
      <c r="G47" s="160" t="inlineStr">
        <is>
          <t>Schmidt 1985 (majority)</t>
        </is>
      </c>
    </row>
    <row r="48" ht="16" customHeight="1">
      <c r="B48" s="162" t="inlineStr">
        <is>
          <t>Total</t>
        </is>
      </c>
      <c r="C48" s="167" t="n">
        <v>76</v>
      </c>
      <c r="D48" s="162" t="inlineStr">
        <is>
          <t>—</t>
        </is>
      </c>
      <c r="E48" s="162" t="inlineStr">
        <is>
          <t>—</t>
        </is>
      </c>
      <c r="F48" s="162" t="inlineStr">
        <is>
          <t>100%</t>
        </is>
      </c>
      <c r="G48" s="162" t="inlineStr">
        <is>
          <t>—</t>
        </is>
      </c>
    </row>
    <row r="50" ht="20" customHeight="1">
      <c r="B50" s="65" t="inlineStr">
        <is>
          <t>6.  Key Hastelloy N Values After Scaling — Model-Ready</t>
        </is>
      </c>
    </row>
    <row r="51" ht="18" customHeight="1">
      <c r="B51" s="66" t="inlineStr">
        <is>
          <t>These are the recommended values for the Hastelloy N metal bulk parameters, replacing the current 316L Forcey 1988 surrogate in the sensitivity CSV.</t>
        </is>
      </c>
    </row>
    <row r="52" ht="28" customHeight="1">
      <c r="B52" s="10" t="inlineStr">
        <is>
          <t>Source entry</t>
        </is>
      </c>
      <c r="C52" s="10" t="inlineStr">
        <is>
          <t>Original gas</t>
        </is>
      </c>
      <c r="D52" s="10" t="inlineStr">
        <is>
          <t>Phi_ref D₂/T₂</t>
        </is>
      </c>
      <c r="E52" s="10" t="inlineStr">
        <is>
          <t>Phi_ref_H2</t>
        </is>
      </c>
      <c r="F52" s="10" t="inlineStr">
        <is>
          <t>Q_p (J/mol)</t>
        </is>
      </c>
      <c r="G52" s="10" t="inlineStr">
        <is>
          <t>Phi_0_H2</t>
        </is>
      </c>
    </row>
    <row r="53" ht="16" customHeight="1">
      <c r="B53" s="160" t="inlineStr">
        <is>
          <t>Hastelloy_N_Rohrig1975_v1/v2</t>
        </is>
      </c>
      <c r="C53" s="160" t="inlineStr">
        <is>
          <t>D₂</t>
        </is>
      </c>
      <c r="D53" s="166" t="n">
        <v>4.23e-10</v>
      </c>
      <c r="E53" s="166" t="n">
        <v>5.982123368838193e-10</v>
      </c>
      <c r="F53" s="165" t="n">
        <v>77948</v>
      </c>
      <c r="G53" s="166" t="n">
        <v>1.658872508663641e-06</v>
      </c>
    </row>
    <row r="54" ht="16" customHeight="1">
      <c r="B54" s="162" t="inlineStr">
        <is>
          <t>Hastelloy_N_unox_Strehlow_II</t>
        </is>
      </c>
      <c r="C54" s="162" t="inlineStr">
        <is>
          <t>D₂</t>
        </is>
      </c>
      <c r="D54" s="168" t="n">
        <v>2.808e-10</v>
      </c>
      <c r="E54" s="168" t="n">
        <v>3.971111683143651e-10</v>
      </c>
      <c r="F54" s="162" t="inlineStr">
        <is>
          <t>—</t>
        </is>
      </c>
      <c r="G54" s="162" t="inlineStr">
        <is>
          <t>—</t>
        </is>
      </c>
    </row>
    <row r="55" ht="18" customHeight="1">
      <c r="B55" s="80" t="inlineStr">
        <is>
          <t>RECOMMENDED: Use Rohrig 1975 v1/v2 as primary. Full Arrhenius triplet (Phi_ref, Q_p, Phi_0) available. T_ref = 1173 K; valid range 773–1223 K. Gas was D₂ — all three Phi values multiplied by √2 = 1.4142.</t>
        </is>
      </c>
    </row>
    <row r="57" ht="20" customHeight="1">
      <c r="B57" s="65" t="inlineStr">
        <is>
          <t>7.  Thesis Methods Section — Suggested Text</t>
        </is>
      </c>
    </row>
    <row r="58" ht="90" customHeight="1">
      <c r="B58" s="81" t="inlineStr">
        <is>
          <t>Diffusivity and permeability data measured with D₂ or T₂ were converted to H₂ equivalents using the classical transition-state theory mass scaling: X_H = X_iso × √(m_iso/m_H), where m_H = 1, m_D = 2, m_T = 3 amu. This yields factors of √2 (D₂→H₂) and √3 (T₂→H₂). The scaling applies to pre-exponential factors (D_0, Phi_0) and to reference-temperature values (D_ref, Phi_ref); activation energies (E_D, Q_p, H_s) are isotope-independent. Solubility (Ks) was treated as isotope-independent: the ZPE correction to Ks is 7–15% across 600–1200 K, smaller than the source data uncertainty, consistent with TMAP7 and San Marchi (2007). The classical approximation is valid because all operating temperatures (600–1200 K) greatly exceed the quantum crossover temperature (T_Q ≈ 130–185 K for H in Ni alloys).</t>
        </is>
      </c>
    </row>
  </sheetData>
  <mergeCells count="18">
    <mergeCell ref="B2:G2"/>
    <mergeCell ref="B51:G51"/>
    <mergeCell ref="B10:G10"/>
    <mergeCell ref="B5:G5"/>
    <mergeCell ref="B17:G17"/>
    <mergeCell ref="B41:G41"/>
    <mergeCell ref="B1:G1"/>
    <mergeCell ref="B8:G8"/>
    <mergeCell ref="B57:G57"/>
    <mergeCell ref="B4:G4"/>
    <mergeCell ref="B50:G50"/>
    <mergeCell ref="B43:G43"/>
    <mergeCell ref="B58:G58"/>
    <mergeCell ref="B30:G30"/>
    <mergeCell ref="B29:G29"/>
    <mergeCell ref="B7:G7"/>
    <mergeCell ref="B55:G55"/>
    <mergeCell ref="B6:G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M159"/>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3" customWidth="1" min="2" max="2"/>
    <col width="28" customWidth="1" min="3" max="3"/>
    <col width="38" customWidth="1" min="4" max="4"/>
    <col width="26" customWidth="1" min="5" max="5"/>
    <col width="26" customWidth="1" min="6" max="6"/>
    <col width="30" customWidth="1" min="7" max="7"/>
    <col width="30" customWidth="1" min="8" max="8"/>
    <col width="18" customWidth="1" min="9" max="9"/>
    <col width="14" customWidth="1" min="10" max="10"/>
    <col width="18" customWidth="1" min="11" max="11"/>
    <col width="14" customWidth="1" min="12" max="12"/>
    <col width="16" customWidth="1" min="13" max="13"/>
  </cols>
  <sheetData>
    <row r="1" ht="24" customHeight="1">
      <c r="B1" s="84" t="inlineStr">
        <is>
          <t>Ni-Base Alloy Parameter Analysis — Default Values &amp; Sensitivity Ranges</t>
        </is>
      </c>
    </row>
    <row r="2" ht="20" customHeight="1">
      <c r="B2" s="64" t="inlineStr">
        <is>
          <t>29 Ni-base entries evaluated at T_ref = 800 K (H₂ equivalent). Incoloy 800 treated separately. Geometric mean ± GSD for magnitude params; arithmetic mean ± σ for activation energies.</t>
        </is>
      </c>
    </row>
    <row r="4" ht="20" customHeight="1">
      <c r="B4" s="85" t="inlineStr">
        <is>
          <t>1.  Recommended Default Values and Sensitivity Ranges  (T_ref = 800 K, H₂ equivalent)</t>
        </is>
      </c>
    </row>
    <row r="5" ht="32" customHeight="1">
      <c r="B5" s="10" t="inlineStr">
        <is>
          <t>Parameter</t>
        </is>
      </c>
      <c r="C5" s="37" t="inlineStr">
        <is>
          <t>Default value</t>
        </is>
      </c>
      <c r="D5" s="10" t="inlineStr">
        <is>
          <t>Units</t>
        </is>
      </c>
      <c r="E5" s="36" t="inlineStr">
        <is>
          <t>Statistic used</t>
        </is>
      </c>
      <c r="F5" s="86" t="inlineStr">
        <is>
          <t>Sensitivity range (lo)</t>
        </is>
      </c>
      <c r="G5" s="86" t="inlineStr">
        <is>
          <t>Sensitivity range (hi)</t>
        </is>
      </c>
      <c r="H5" s="86" t="inlineStr">
        <is>
          <t>Sensitivity basis</t>
        </is>
      </c>
      <c r="I5" s="87" t="inlineStr">
        <is>
          <t>Full data range (lo)</t>
        </is>
      </c>
      <c r="J5" s="87" t="inlineStr">
        <is>
          <t>Full data range (hi)</t>
        </is>
      </c>
      <c r="K5" s="87" t="inlineStr">
        <is>
          <t>n (entries)</t>
        </is>
      </c>
      <c r="L5" s="87" t="inlineStr">
        <is>
          <t>Data tier coverage</t>
        </is>
      </c>
      <c r="M5" s="88" t="inlineStr">
        <is>
          <t>Critical caveat</t>
        </is>
      </c>
    </row>
    <row r="6" ht="28" customHeight="1">
      <c r="B6" s="89" t="inlineStr">
        <is>
          <t>Phi_ref (800 K)</t>
        </is>
      </c>
      <c r="C6" s="90" t="n">
        <v>9.329e-12</v>
      </c>
      <c r="D6" s="89" t="inlineStr">
        <is>
          <t>mol/m/s/Pa⁰·⁵</t>
        </is>
      </c>
      <c r="E6" s="89" t="inlineStr">
        <is>
          <t>Geometric mean</t>
        </is>
      </c>
      <c r="F6" s="91" t="n">
        <v>8.529e-13</v>
      </c>
      <c r="G6" s="91" t="n">
        <v>1.021e-10</v>
      </c>
      <c r="H6" s="89" t="inlineStr">
        <is>
          <t>±1 GSD (×10.94)</t>
        </is>
      </c>
      <c r="I6" s="91" t="n">
        <v>2.164e-14</v>
      </c>
      <c r="J6" s="91" t="n">
        <v>1.117e-09</v>
      </c>
      <c r="K6" s="92" t="n">
        <v>28</v>
      </c>
      <c r="L6" s="89" t="inlineStr">
        <is>
          <t>A+B+C</t>
        </is>
      </c>
      <c r="M6" s="89" t="inlineStr">
        <is>
          <t>Broad spread (11000× full range). Hastelloy N geomean = 4.35e-11 — use for Has-N specific runs.</t>
        </is>
      </c>
    </row>
    <row r="7" ht="28" customHeight="1">
      <c r="B7" s="93" t="inlineStr">
        <is>
          <t>Q_p</t>
        </is>
      </c>
      <c r="C7" s="94" t="n">
        <v>81010</v>
      </c>
      <c r="D7" s="93" t="inlineStr">
        <is>
          <t>J/mol</t>
        </is>
      </c>
      <c r="E7" s="93" t="inlineStr">
        <is>
          <t>Arithmetic mean</t>
        </is>
      </c>
      <c r="F7" s="95" t="n">
        <v>45806</v>
      </c>
      <c r="G7" s="95" t="n">
        <v>116214</v>
      </c>
      <c r="H7" s="93" t="inlineStr">
        <is>
          <t>±1σ (35204 J/mol)</t>
        </is>
      </c>
      <c r="I7" s="95" t="n">
        <v>46700</v>
      </c>
      <c r="J7" s="95" t="n">
        <v>198700</v>
      </c>
      <c r="K7" s="96" t="n">
        <v>27</v>
      </c>
      <c r="L7" s="93" t="inlineStr">
        <is>
          <t>A+B</t>
        </is>
      </c>
      <c r="M7" s="93" t="inlineStr">
        <is>
          <t>Outlier: X10_NiCr_30_26 Q_p=198700 J/mol drives high end. Consider trimmed mean if excluding.</t>
        </is>
      </c>
    </row>
    <row r="8" ht="28" customHeight="1">
      <c r="B8" s="89" t="inlineStr">
        <is>
          <t>D_ref (800 K)</t>
        </is>
      </c>
      <c r="C8" s="90" t="n">
        <v>1.459e-10</v>
      </c>
      <c r="D8" s="89" t="inlineStr">
        <is>
          <t>m²/s</t>
        </is>
      </c>
      <c r="E8" s="89" t="inlineStr">
        <is>
          <t>Geometric mean</t>
        </is>
      </c>
      <c r="F8" s="91" t="n">
        <v>4.587e-11</v>
      </c>
      <c r="G8" s="91" t="n">
        <v>4.642e-10</v>
      </c>
      <c r="H8" s="89" t="inlineStr">
        <is>
          <t>±1 GSD (×3.18)</t>
        </is>
      </c>
      <c r="I8" s="91" t="n">
        <v>1.255e-11</v>
      </c>
      <c r="J8" s="91" t="n">
        <v>5.699e-10</v>
      </c>
      <c r="K8" s="92" t="n">
        <v>10</v>
      </c>
      <c r="L8" s="89" t="inlineStr">
        <is>
          <t>Tier A only</t>
        </is>
      </c>
      <c r="M8" s="89" t="inlineStr">
        <is>
          <t>No Hastelloy N D data. 10 NiCr analogs from Schmidt 1985. Flag as analog estimate.</t>
        </is>
      </c>
    </row>
    <row r="9" ht="28" customHeight="1">
      <c r="B9" s="93" t="inlineStr">
        <is>
          <t>E_D</t>
        </is>
      </c>
      <c r="C9" s="94" t="n">
        <v>61620</v>
      </c>
      <c r="D9" s="93" t="inlineStr">
        <is>
          <t>J/mol</t>
        </is>
      </c>
      <c r="E9" s="93" t="inlineStr">
        <is>
          <t>Arithmetic mean</t>
        </is>
      </c>
      <c r="F9" s="95" t="n">
        <v>32855</v>
      </c>
      <c r="G9" s="95" t="n">
        <v>90385</v>
      </c>
      <c r="H9" s="93" t="inlineStr">
        <is>
          <t>±1σ (28765 J/mol)</t>
        </is>
      </c>
      <c r="I9" s="95" t="n">
        <v>23400</v>
      </c>
      <c r="J9" s="95" t="n">
        <v>112800</v>
      </c>
      <c r="K9" s="96" t="n">
        <v>10</v>
      </c>
      <c r="L9" s="93" t="inlineStr">
        <is>
          <t>Tier A only</t>
        </is>
      </c>
      <c r="M9" s="93" t="inlineStr">
        <is>
          <t>Large spread (23.4 – 112.8 kJ/mol). No Hastelloy N direct measurement.</t>
        </is>
      </c>
    </row>
    <row r="10" ht="28" customHeight="1">
      <c r="B10" s="89" t="inlineStr">
        <is>
          <t>Ks_ref (800 K)</t>
        </is>
      </c>
      <c r="C10" s="97" t="n">
        <v>0.009024000000000001</v>
      </c>
      <c r="D10" s="89" t="inlineStr">
        <is>
          <t>mol/m³/Pa⁰·⁵</t>
        </is>
      </c>
      <c r="E10" s="89" t="inlineStr">
        <is>
          <t>Geometric mean</t>
        </is>
      </c>
      <c r="F10" s="98" t="n">
        <v>0.002947</v>
      </c>
      <c r="G10" s="98" t="n">
        <v>0.02764</v>
      </c>
      <c r="H10" s="89" t="inlineStr">
        <is>
          <t>±1 GSD (×3.06)</t>
        </is>
      </c>
      <c r="I10" s="98" t="n">
        <v>0.001725</v>
      </c>
      <c r="J10" s="98" t="n">
        <v>0.03827</v>
      </c>
      <c r="K10" s="92" t="n">
        <v>10</v>
      </c>
      <c r="L10" s="89" t="inlineStr">
        <is>
          <t>Tier A only</t>
        </is>
      </c>
      <c r="M10" s="89" t="inlineStr">
        <is>
          <t>Solubility isotope-independent (ZPE &lt; 15%). No Hastelloy N Ks data.</t>
        </is>
      </c>
    </row>
    <row r="11" ht="28" customHeight="1">
      <c r="B11" s="93" t="inlineStr">
        <is>
          <t>H_s</t>
        </is>
      </c>
      <c r="C11" s="94" t="n">
        <v>38320</v>
      </c>
      <c r="D11" s="93" t="inlineStr">
        <is>
          <t>J/mol</t>
        </is>
      </c>
      <c r="E11" s="93" t="inlineStr">
        <is>
          <t>Arithmetic mean</t>
        </is>
      </c>
      <c r="F11" s="95" t="n">
        <v>13505</v>
      </c>
      <c r="G11" s="95" t="n">
        <v>63135</v>
      </c>
      <c r="H11" s="93" t="inlineStr">
        <is>
          <t>±1σ (24815 J/mol)</t>
        </is>
      </c>
      <c r="I11" s="95" t="n">
        <v>7200</v>
      </c>
      <c r="J11" s="95" t="n">
        <v>85900</v>
      </c>
      <c r="K11" s="96" t="n">
        <v>10</v>
      </c>
      <c r="L11" s="93" t="inlineStr">
        <is>
          <t>Tier A only</t>
        </is>
      </c>
      <c r="M11" s="93" t="inlineStr">
        <is>
          <t>Wide spread. H_s governs T-dependence of Ks. Verify self-consistency: E_D + H_s ≈ Q_p.</t>
        </is>
      </c>
    </row>
    <row r="12" ht="28" customHeight="1">
      <c r="B12" s="99" t="inlineStr">
        <is>
          <t>Phi_ref Has-N only</t>
        </is>
      </c>
      <c r="C12" s="100" t="n">
        <v>4.351e-11</v>
      </c>
      <c r="D12" s="101" t="inlineStr">
        <is>
          <t>mol/m/s/Pa⁰·⁵</t>
        </is>
      </c>
      <c r="E12" s="101" t="inlineStr">
        <is>
          <t>Geometric mean</t>
        </is>
      </c>
      <c r="F12" s="102" t="n">
        <v>1.44e-11</v>
      </c>
      <c r="G12" s="102" t="n">
        <v>3.971e-10</v>
      </c>
      <c r="H12" s="101" t="inlineStr">
        <is>
          <t>Full Has-N range</t>
        </is>
      </c>
      <c r="I12" s="102" t="n">
        <v>1.44e-11</v>
      </c>
      <c r="J12" s="102" t="n">
        <v>3.971e-10</v>
      </c>
      <c r="K12" s="103" t="n">
        <v>3</v>
      </c>
      <c r="L12" s="101" t="inlineStr">
        <is>
          <t>B+C (Rohrig+Strehlow)</t>
        </is>
      </c>
      <c r="M12" s="101" t="inlineStr">
        <is>
          <t>Preferred Has-N specific default. Rohrig 1975 Q_p=77948 J/mol is the Arrhenius anchor.</t>
        </is>
      </c>
    </row>
    <row r="14" ht="20" customHeight="1">
      <c r="B14" s="104" t="inlineStr">
        <is>
          <t>2.  Self-Consistency Check  (E_D + H_s = Q_p  must hold for each entry)</t>
        </is>
      </c>
    </row>
    <row r="15" ht="32" customHeight="1">
      <c r="B15" s="86" t="inlineStr">
        <is>
          <t>Entry key</t>
        </is>
      </c>
      <c r="C15" s="86" t="inlineStr">
        <is>
          <t>Group</t>
        </is>
      </c>
      <c r="D15" s="105" t="inlineStr">
        <is>
          <t>E_D (J/mol)</t>
        </is>
      </c>
      <c r="E15" s="105" t="inlineStr">
        <is>
          <t>H_s (J/mol)</t>
        </is>
      </c>
      <c r="F15" s="105" t="inlineStr">
        <is>
          <t>E_D + H_s</t>
        </is>
      </c>
      <c r="G15" s="86" t="inlineStr">
        <is>
          <t>Q_p reported</t>
        </is>
      </c>
      <c r="H15" s="88" t="inlineStr">
        <is>
          <t>Discrepancy (J/mol)</t>
        </is>
      </c>
      <c r="I15" s="88" t="inlineStr">
        <is>
          <t>Discrepancy %</t>
        </is>
      </c>
      <c r="J15" s="36" t="inlineStr">
        <is>
          <t>Status</t>
        </is>
      </c>
    </row>
    <row r="16" ht="15" customHeight="1">
      <c r="B16" s="89" t="inlineStr">
        <is>
          <t>metal_Nimonic_PE_13</t>
        </is>
      </c>
      <c r="C16" s="89" t="inlineStr">
        <is>
          <t>Nimonic PE-13</t>
        </is>
      </c>
      <c r="D16" s="98" t="n">
        <v>33800</v>
      </c>
      <c r="E16" s="98" t="n">
        <v>18500</v>
      </c>
      <c r="F16" s="98" t="n">
        <v>52300</v>
      </c>
      <c r="G16" s="98" t="n">
        <v>52300</v>
      </c>
      <c r="H16" s="92" t="n">
        <v>0</v>
      </c>
      <c r="I16" s="92" t="n">
        <v>0</v>
      </c>
      <c r="J16" s="89" t="inlineStr">
        <is>
          <t>OK</t>
        </is>
      </c>
    </row>
    <row r="17" ht="15" customHeight="1">
      <c r="B17" s="93" t="inlineStr">
        <is>
          <t>metal_X2_NiCr_30_25</t>
        </is>
      </c>
      <c r="C17" s="93" t="inlineStr">
        <is>
          <t>NiCr Schmidt</t>
        </is>
      </c>
      <c r="D17" s="95" t="n">
        <v>69500</v>
      </c>
      <c r="E17" s="95" t="n">
        <v>10200</v>
      </c>
      <c r="F17" s="95" t="n">
        <v>79700</v>
      </c>
      <c r="G17" s="95" t="n">
        <v>79700</v>
      </c>
      <c r="H17" s="96" t="n">
        <v>0</v>
      </c>
      <c r="I17" s="96" t="n">
        <v>0</v>
      </c>
      <c r="J17" s="93" t="inlineStr">
        <is>
          <t>OK</t>
        </is>
      </c>
    </row>
    <row r="18" ht="15" customHeight="1">
      <c r="B18" s="89" t="inlineStr">
        <is>
          <t>metal_X2_NiCrTi_30_25</t>
        </is>
      </c>
      <c r="C18" s="89" t="inlineStr">
        <is>
          <t>NiCr Schmidt</t>
        </is>
      </c>
      <c r="D18" s="98" t="n">
        <v>62300</v>
      </c>
      <c r="E18" s="98" t="n">
        <v>29100</v>
      </c>
      <c r="F18" s="98" t="n">
        <v>91400</v>
      </c>
      <c r="G18" s="98" t="n">
        <v>91400</v>
      </c>
      <c r="H18" s="92" t="n">
        <v>0</v>
      </c>
      <c r="I18" s="92" t="n">
        <v>0</v>
      </c>
      <c r="J18" s="89" t="inlineStr">
        <is>
          <t>OK</t>
        </is>
      </c>
    </row>
    <row r="19" ht="15" customHeight="1">
      <c r="B19" s="93" t="inlineStr">
        <is>
          <t>metal_X10_NiCrTi_30_25</t>
        </is>
      </c>
      <c r="C19" s="93" t="inlineStr">
        <is>
          <t>NiCr Schmidt</t>
        </is>
      </c>
      <c r="D19" s="95" t="n">
        <v>42600</v>
      </c>
      <c r="E19" s="95" t="n">
        <v>45900</v>
      </c>
      <c r="F19" s="95" t="n">
        <v>88500</v>
      </c>
      <c r="G19" s="95" t="n">
        <v>88500</v>
      </c>
      <c r="H19" s="96" t="n">
        <v>0</v>
      </c>
      <c r="I19" s="96" t="n">
        <v>0</v>
      </c>
      <c r="J19" s="93" t="inlineStr">
        <is>
          <t>OK</t>
        </is>
      </c>
    </row>
    <row r="20" ht="15" customHeight="1">
      <c r="B20" s="89" t="inlineStr">
        <is>
          <t>metal_X40_NiCrTi_30_25</t>
        </is>
      </c>
      <c r="C20" s="89" t="inlineStr">
        <is>
          <t>NiCr Schmidt</t>
        </is>
      </c>
      <c r="D20" s="98" t="n">
        <v>23400</v>
      </c>
      <c r="E20" s="98" t="n">
        <v>33400</v>
      </c>
      <c r="F20" s="98" t="n">
        <v>56800</v>
      </c>
      <c r="G20" s="98" t="n">
        <v>56800</v>
      </c>
      <c r="H20" s="92" t="n">
        <v>0</v>
      </c>
      <c r="I20" s="92" t="n">
        <v>0</v>
      </c>
      <c r="J20" s="89" t="inlineStr">
        <is>
          <t>OK</t>
        </is>
      </c>
    </row>
    <row r="21" ht="15" customHeight="1">
      <c r="B21" s="93" t="inlineStr">
        <is>
          <t>metal_X10_NiCr_30_20</t>
        </is>
      </c>
      <c r="C21" s="93" t="inlineStr">
        <is>
          <t>NiCr Schmidt</t>
        </is>
      </c>
      <c r="D21" s="95" t="n">
        <v>48100</v>
      </c>
      <c r="E21" s="95" t="n">
        <v>39700</v>
      </c>
      <c r="F21" s="95" t="n">
        <v>87800</v>
      </c>
      <c r="G21" s="95" t="n">
        <v>87800</v>
      </c>
      <c r="H21" s="96" t="n">
        <v>0</v>
      </c>
      <c r="I21" s="96" t="n">
        <v>0</v>
      </c>
      <c r="J21" s="93" t="inlineStr">
        <is>
          <t>OK</t>
        </is>
      </c>
    </row>
    <row r="22" ht="15" customHeight="1">
      <c r="B22" s="89" t="inlineStr">
        <is>
          <t>metal_X10_NiCr_30_22</t>
        </is>
      </c>
      <c r="C22" s="89" t="inlineStr">
        <is>
          <t>NiCr Schmidt</t>
        </is>
      </c>
      <c r="D22" s="98" t="n">
        <v>48600</v>
      </c>
      <c r="E22" s="98" t="n">
        <v>44700</v>
      </c>
      <c r="F22" s="98" t="n">
        <v>93300</v>
      </c>
      <c r="G22" s="98" t="n">
        <v>93300</v>
      </c>
      <c r="H22" s="92" t="n">
        <v>0</v>
      </c>
      <c r="I22" s="92" t="n">
        <v>0</v>
      </c>
      <c r="J22" s="89" t="inlineStr">
        <is>
          <t>OK</t>
        </is>
      </c>
    </row>
    <row r="23" ht="15" customHeight="1">
      <c r="B23" s="93" t="inlineStr">
        <is>
          <t>metal_X10_NiCr_30_26</t>
        </is>
      </c>
      <c r="C23" s="93" t="inlineStr">
        <is>
          <t>NiCr Schmidt</t>
        </is>
      </c>
      <c r="D23" s="95" t="n">
        <v>112800</v>
      </c>
      <c r="E23" s="95" t="n">
        <v>85900</v>
      </c>
      <c r="F23" s="95" t="n">
        <v>198700</v>
      </c>
      <c r="G23" s="95" t="n">
        <v>198700</v>
      </c>
      <c r="H23" s="96" t="n">
        <v>0</v>
      </c>
      <c r="I23" s="96" t="n">
        <v>0</v>
      </c>
      <c r="J23" s="93" t="inlineStr">
        <is>
          <t>OK</t>
        </is>
      </c>
    </row>
    <row r="24" ht="15" customHeight="1">
      <c r="B24" s="89" t="inlineStr">
        <is>
          <t>metal_X40_NiCrAlTi_Incoloy802</t>
        </is>
      </c>
      <c r="C24" s="89" t="inlineStr">
        <is>
          <t>Incoloy 802</t>
        </is>
      </c>
      <c r="D24" s="98" t="n">
        <v>72200</v>
      </c>
      <c r="E24" s="98" t="n">
        <v>7200</v>
      </c>
      <c r="F24" s="98" t="n">
        <v>79400</v>
      </c>
      <c r="G24" s="98" t="n">
        <v>79400</v>
      </c>
      <c r="H24" s="92" t="n">
        <v>0</v>
      </c>
      <c r="I24" s="92" t="n">
        <v>0</v>
      </c>
      <c r="J24" s="89" t="inlineStr">
        <is>
          <t>OK</t>
        </is>
      </c>
    </row>
    <row r="25" ht="15" customHeight="1">
      <c r="B25" s="93" t="inlineStr">
        <is>
          <t>metal_X2_NiCrSi_30_25</t>
        </is>
      </c>
      <c r="C25" s="93" t="inlineStr">
        <is>
          <t>NiCr Schmidt</t>
        </is>
      </c>
      <c r="D25" s="95" t="n">
        <v>102900</v>
      </c>
      <c r="E25" s="95" t="n">
        <v>68600</v>
      </c>
      <c r="F25" s="95" t="n">
        <v>171500</v>
      </c>
      <c r="G25" s="95" t="n">
        <v>171500</v>
      </c>
      <c r="H25" s="96" t="n">
        <v>0</v>
      </c>
      <c r="I25" s="96" t="n">
        <v>0</v>
      </c>
      <c r="J25" s="93" t="inlineStr">
        <is>
          <t>OK</t>
        </is>
      </c>
    </row>
    <row r="27" ht="20" customHeight="1">
      <c r="B27" s="106" t="inlineStr">
        <is>
          <t>3.  Phi(800 K) by Subgroup</t>
        </is>
      </c>
    </row>
    <row r="28" ht="32" customHeight="1">
      <c r="B28" s="87" t="inlineStr">
        <is>
          <t>Subgroup</t>
        </is>
      </c>
      <c r="C28" s="87" t="inlineStr">
        <is>
          <t>n entries</t>
        </is>
      </c>
      <c r="D28" s="37" t="inlineStr">
        <is>
          <t>Geomean Phi(800K)</t>
        </is>
      </c>
      <c r="E28" s="87" t="inlineStr">
        <is>
          <t>Min Phi(800K)</t>
        </is>
      </c>
      <c r="F28" s="87" t="inlineStr">
        <is>
          <t>Max Phi(800K)</t>
        </is>
      </c>
      <c r="G28" s="88" t="inlineStr">
        <is>
          <t>Spread (max/min)</t>
        </is>
      </c>
      <c r="H28" s="88" t="inlineStr">
        <is>
          <t>GSD</t>
        </is>
      </c>
      <c r="I28" s="87" t="inlineStr">
        <is>
          <t>Notes</t>
        </is>
      </c>
    </row>
    <row r="29" ht="18" customHeight="1">
      <c r="B29" s="101" t="inlineStr">
        <is>
          <t>Hastelloy N</t>
        </is>
      </c>
      <c r="C29" s="107" t="n">
        <v>3</v>
      </c>
      <c r="D29" s="102" t="n">
        <v>4.351e-11</v>
      </c>
      <c r="E29" s="102" t="n">
        <v>1.44e-11</v>
      </c>
      <c r="F29" s="102" t="n">
        <v>3.971e-10</v>
      </c>
      <c r="G29" s="107" t="n">
        <v>28</v>
      </c>
      <c r="H29" s="108" t="inlineStr">
        <is>
          <t>—</t>
        </is>
      </c>
      <c r="I29" s="101" t="inlineStr">
        <is>
          <t>PRIMARY TARGET — use for Has-N specific model runs</t>
        </is>
      </c>
    </row>
    <row r="30" ht="18" customHeight="1">
      <c r="B30" s="93" t="inlineStr">
        <is>
          <t>Pure Ni</t>
        </is>
      </c>
      <c r="C30" s="95" t="n">
        <v>3</v>
      </c>
      <c r="D30" s="109" t="n">
        <v>4.829e-10</v>
      </c>
      <c r="E30" s="109" t="n">
        <v>1.017e-10</v>
      </c>
      <c r="F30" s="109" t="n">
        <v>1.117e-09</v>
      </c>
      <c r="G30" s="95" t="n">
        <v>11</v>
      </c>
      <c r="H30" s="110" t="inlineStr">
        <is>
          <t>—</t>
        </is>
      </c>
      <c r="I30" s="93" t="inlineStr">
        <is>
          <t>Upper bound reference — pure Ni is more permeable than alloys</t>
        </is>
      </c>
    </row>
    <row r="31" ht="18" customHeight="1">
      <c r="B31" s="89" t="inlineStr">
        <is>
          <t>Incoloy 600</t>
        </is>
      </c>
      <c r="C31" s="98" t="n">
        <v>1</v>
      </c>
      <c r="D31" s="91" t="n">
        <v>4.392e-11</v>
      </c>
      <c r="E31" s="111" t="inlineStr">
        <is>
          <t>—</t>
        </is>
      </c>
      <c r="F31" s="111" t="inlineStr">
        <is>
          <t>—</t>
        </is>
      </c>
      <c r="G31" s="111" t="inlineStr">
        <is>
          <t>—</t>
        </is>
      </c>
      <c r="H31" s="111" t="inlineStr">
        <is>
          <t>—</t>
        </is>
      </c>
      <c r="I31" s="89" t="inlineStr">
        <is>
          <t>Single point only — no statistics possible</t>
        </is>
      </c>
    </row>
    <row r="32" ht="18" customHeight="1">
      <c r="B32" s="93" t="inlineStr">
        <is>
          <t>Inconel 617</t>
        </is>
      </c>
      <c r="C32" s="95" t="n">
        <v>2</v>
      </c>
      <c r="D32" s="109" t="n">
        <v>1.376e-11</v>
      </c>
      <c r="E32" s="109" t="n">
        <v>7.511999999999999e-12</v>
      </c>
      <c r="F32" s="109" t="n">
        <v>2.521e-11</v>
      </c>
      <c r="G32" s="95" t="n">
        <v>3</v>
      </c>
      <c r="H32" s="110" t="inlineStr">
        <is>
          <t>—</t>
        </is>
      </c>
      <c r="I32" s="93" t="inlineStr">
        <is>
          <t>Close chemical analog to Has-X (Ni-22Cr-CoMoAl)</t>
        </is>
      </c>
    </row>
    <row r="33" ht="18" customHeight="1">
      <c r="B33" s="89" t="inlineStr">
        <is>
          <t>Inconel 625</t>
        </is>
      </c>
      <c r="C33" s="98" t="n">
        <v>1</v>
      </c>
      <c r="D33" s="91" t="n">
        <v>1.807e-11</v>
      </c>
      <c r="E33" s="111" t="inlineStr">
        <is>
          <t>—</t>
        </is>
      </c>
      <c r="F33" s="111" t="inlineStr">
        <is>
          <t>—</t>
        </is>
      </c>
      <c r="G33" s="111" t="inlineStr">
        <is>
          <t>—</t>
        </is>
      </c>
      <c r="H33" s="111" t="inlineStr">
        <is>
          <t>—</t>
        </is>
      </c>
      <c r="I33" s="89" t="inlineStr">
        <is>
          <t>Single point only</t>
        </is>
      </c>
    </row>
    <row r="34" ht="18" customHeight="1">
      <c r="B34" s="93" t="inlineStr">
        <is>
          <t>Nimonic PE-13</t>
        </is>
      </c>
      <c r="C34" s="95" t="n">
        <v>1</v>
      </c>
      <c r="D34" s="109" t="n">
        <v>1.408e-11</v>
      </c>
      <c r="E34" s="110" t="inlineStr">
        <is>
          <t>—</t>
        </is>
      </c>
      <c r="F34" s="110" t="inlineStr">
        <is>
          <t>—</t>
        </is>
      </c>
      <c r="G34" s="110" t="inlineStr">
        <is>
          <t>—</t>
        </is>
      </c>
      <c r="H34" s="110" t="inlineStr">
        <is>
          <t>—</t>
        </is>
      </c>
      <c r="I34" s="93" t="inlineStr">
        <is>
          <t>Single point only — Tier A (full Arrhenius)</t>
        </is>
      </c>
    </row>
    <row r="35" ht="18" customHeight="1">
      <c r="B35" s="89" t="inlineStr">
        <is>
          <t>Incoloy 802</t>
        </is>
      </c>
      <c r="C35" s="98" t="n">
        <v>1</v>
      </c>
      <c r="D35" s="91" t="n">
        <v>3.514e-12</v>
      </c>
      <c r="E35" s="111" t="inlineStr">
        <is>
          <t>—</t>
        </is>
      </c>
      <c r="F35" s="111" t="inlineStr">
        <is>
          <t>—</t>
        </is>
      </c>
      <c r="G35" s="111" t="inlineStr">
        <is>
          <t>—</t>
        </is>
      </c>
      <c r="H35" s="111" t="inlineStr">
        <is>
          <t>—</t>
        </is>
      </c>
      <c r="I35" s="89" t="inlineStr">
        <is>
          <t>Single point only — Tier A (full Arrhenius)</t>
        </is>
      </c>
    </row>
    <row r="36" ht="18" customHeight="1">
      <c r="B36" s="93" t="inlineStr">
        <is>
          <t>Incoloy 800H</t>
        </is>
      </c>
      <c r="C36" s="95" t="n">
        <v>1</v>
      </c>
      <c r="D36" s="109" t="n">
        <v>1.612e-11</v>
      </c>
      <c r="E36" s="110" t="inlineStr">
        <is>
          <t>—</t>
        </is>
      </c>
      <c r="F36" s="110" t="inlineStr">
        <is>
          <t>—</t>
        </is>
      </c>
      <c r="G36" s="110" t="inlineStr">
        <is>
          <t>—</t>
        </is>
      </c>
      <c r="H36" s="110" t="inlineStr">
        <is>
          <t>—</t>
        </is>
      </c>
      <c r="I36" s="93" t="inlineStr">
        <is>
          <t>Single point only — Tier B</t>
        </is>
      </c>
    </row>
    <row r="37" ht="18" customHeight="1">
      <c r="B37" s="89" t="inlineStr">
        <is>
          <t>NiCr (Schmidt)</t>
        </is>
      </c>
      <c r="C37" s="98" t="n">
        <v>15</v>
      </c>
      <c r="D37" s="91" t="n">
        <v>2.555e-12</v>
      </c>
      <c r="E37" s="91" t="n">
        <v>2.164e-14</v>
      </c>
      <c r="F37" s="91" t="n">
        <v>3.413e-11</v>
      </c>
      <c r="G37" s="98" t="n">
        <v>1577</v>
      </c>
      <c r="H37" s="111" t="inlineStr">
        <is>
          <t>—</t>
        </is>
      </c>
      <c r="I37" s="89" t="inlineStr">
        <is>
          <t>Largest sub-group. Wide spread — includes high-Si/Ce outliers</t>
        </is>
      </c>
    </row>
    <row r="39" ht="20" customHeight="1">
      <c r="B39" s="112" t="inlineStr">
        <is>
          <t>4.  All 29 Ni-Base Entries — Evaluated at 800 K</t>
        </is>
      </c>
    </row>
    <row r="40" ht="32" customHeight="1">
      <c r="B40" s="10" t="inlineStr">
        <is>
          <t>Material key</t>
        </is>
      </c>
      <c r="C40" s="10" t="inlineStr">
        <is>
          <t>Subgroup</t>
        </is>
      </c>
      <c r="D40" s="36" t="inlineStr">
        <is>
          <t>Gas (orig)</t>
        </is>
      </c>
      <c r="E40" s="36" t="inlineStr">
        <is>
          <t>Tier</t>
        </is>
      </c>
      <c r="F40" s="87" t="inlineStr">
        <is>
          <t>T_ref (K)</t>
        </is>
      </c>
      <c r="G40" s="37" t="inlineStr">
        <is>
          <t>Phi(800K) H₂</t>
        </is>
      </c>
      <c r="H40" s="37" t="inlineStr">
        <is>
          <t>Q_p (J/mol)</t>
        </is>
      </c>
      <c r="I40" s="86" t="inlineStr">
        <is>
          <t>D(800K) H₂</t>
        </is>
      </c>
      <c r="J40" s="86" t="inlineStr">
        <is>
          <t>E_D (J/mol)</t>
        </is>
      </c>
      <c r="K40" s="88" t="inlineStr">
        <is>
          <t>Ks(800K)</t>
        </is>
      </c>
      <c r="L40" s="88" t="inlineStr">
        <is>
          <t>H_s (J/mol)</t>
        </is>
      </c>
      <c r="M40" s="87" t="inlineStr">
        <is>
          <t>Source</t>
        </is>
      </c>
    </row>
    <row r="41" ht="15" customHeight="1">
      <c r="B41" s="113" t="inlineStr">
        <is>
          <t>Hastelloy_N_unox_Strehlow74_I</t>
        </is>
      </c>
      <c r="C41" s="114" t="inlineStr">
        <is>
          <t>Hastelloy N</t>
        </is>
      </c>
      <c r="D41" s="114" t="inlineStr">
        <is>
          <t>D₂</t>
        </is>
      </c>
      <c r="E41" s="114" t="inlineStr">
        <is>
          <t>X</t>
        </is>
      </c>
      <c r="F41" s="115" t="n">
        <v>896</v>
      </c>
      <c r="G41" s="116" t="inlineStr">
        <is>
          <t>—</t>
        </is>
      </c>
      <c r="H41" s="116" t="inlineStr">
        <is>
          <t>—</t>
        </is>
      </c>
      <c r="I41" s="116" t="inlineStr">
        <is>
          <t>—</t>
        </is>
      </c>
      <c r="J41" s="116" t="inlineStr">
        <is>
          <t>—</t>
        </is>
      </c>
      <c r="K41" s="116" t="inlineStr">
        <is>
          <t>—</t>
        </is>
      </c>
      <c r="L41" s="116" t="inlineStr">
        <is>
          <t>—</t>
        </is>
      </c>
      <c r="M41" s="114" t="inlineStr">
        <is>
          <t>Strehlow 1974</t>
        </is>
      </c>
    </row>
    <row r="42" ht="15" customHeight="1">
      <c r="B42" s="113" t="inlineStr">
        <is>
          <t>Hastelloy_N_unox_Strehlow74_II</t>
        </is>
      </c>
      <c r="C42" s="114" t="inlineStr">
        <is>
          <t>Hastelloy N</t>
        </is>
      </c>
      <c r="D42" s="114" t="inlineStr">
        <is>
          <t>D₂</t>
        </is>
      </c>
      <c r="E42" s="114" t="inlineStr">
        <is>
          <t>C</t>
        </is>
      </c>
      <c r="F42" s="115" t="n">
        <v>842</v>
      </c>
      <c r="G42" s="117" t="n">
        <v>3.971e-10</v>
      </c>
      <c r="H42" s="116" t="inlineStr">
        <is>
          <t>—</t>
        </is>
      </c>
      <c r="I42" s="116" t="inlineStr">
        <is>
          <t>—</t>
        </is>
      </c>
      <c r="J42" s="116" t="inlineStr">
        <is>
          <t>—</t>
        </is>
      </c>
      <c r="K42" s="116" t="inlineStr">
        <is>
          <t>—</t>
        </is>
      </c>
      <c r="L42" s="116" t="inlineStr">
        <is>
          <t>—</t>
        </is>
      </c>
      <c r="M42" s="114" t="inlineStr">
        <is>
          <t>Strehlow 1974</t>
        </is>
      </c>
    </row>
    <row r="43" ht="15" customHeight="1">
      <c r="B43" s="113" t="inlineStr">
        <is>
          <t>Hastelloy_N_ox_Rohrig75_v1</t>
        </is>
      </c>
      <c r="C43" s="114" t="inlineStr">
        <is>
          <t>Hastelloy N</t>
        </is>
      </c>
      <c r="D43" s="114" t="inlineStr">
        <is>
          <t>D₂</t>
        </is>
      </c>
      <c r="E43" s="114" t="inlineStr">
        <is>
          <t>B</t>
        </is>
      </c>
      <c r="F43" s="115" t="n">
        <v>1173</v>
      </c>
      <c r="G43" s="117" t="n">
        <v>1.44e-11</v>
      </c>
      <c r="H43" s="115" t="n">
        <v>77948</v>
      </c>
      <c r="I43" s="116" t="inlineStr">
        <is>
          <t>—</t>
        </is>
      </c>
      <c r="J43" s="116" t="inlineStr">
        <is>
          <t>—</t>
        </is>
      </c>
      <c r="K43" s="116" t="inlineStr">
        <is>
          <t>—</t>
        </is>
      </c>
      <c r="L43" s="116" t="inlineStr">
        <is>
          <t>—</t>
        </is>
      </c>
      <c r="M43" s="114" t="inlineStr">
        <is>
          <t>Rohrig 1975</t>
        </is>
      </c>
    </row>
    <row r="44" ht="15" customHeight="1">
      <c r="B44" s="113" t="inlineStr">
        <is>
          <t>Hastelloy_N_ox_Rohrig75_v2</t>
        </is>
      </c>
      <c r="C44" s="114" t="inlineStr">
        <is>
          <t>Hastelloy N</t>
        </is>
      </c>
      <c r="D44" s="114" t="inlineStr">
        <is>
          <t>D₂</t>
        </is>
      </c>
      <c r="E44" s="114" t="inlineStr">
        <is>
          <t>B</t>
        </is>
      </c>
      <c r="F44" s="115" t="n">
        <v>1173</v>
      </c>
      <c r="G44" s="117" t="n">
        <v>1.44e-11</v>
      </c>
      <c r="H44" s="115" t="n">
        <v>77948</v>
      </c>
      <c r="I44" s="116" t="inlineStr">
        <is>
          <t>—</t>
        </is>
      </c>
      <c r="J44" s="116" t="inlineStr">
        <is>
          <t>—</t>
        </is>
      </c>
      <c r="K44" s="116" t="inlineStr">
        <is>
          <t>—</t>
        </is>
      </c>
      <c r="L44" s="116" t="inlineStr">
        <is>
          <t>—</t>
        </is>
      </c>
      <c r="M44" s="114" t="inlineStr">
        <is>
          <t>Rohrig 1975</t>
        </is>
      </c>
    </row>
    <row r="45" ht="15" customHeight="1">
      <c r="B45" s="118" t="inlineStr">
        <is>
          <t>Nickel_unox_Strehlow74_I</t>
        </is>
      </c>
      <c r="C45" s="118" t="inlineStr">
        <is>
          <t>Pure Ni</t>
        </is>
      </c>
      <c r="D45" s="118" t="inlineStr">
        <is>
          <t>D₂</t>
        </is>
      </c>
      <c r="E45" s="118" t="inlineStr">
        <is>
          <t>B</t>
        </is>
      </c>
      <c r="F45" s="119" t="n">
        <v>896</v>
      </c>
      <c r="G45" s="120" t="n">
        <v>1.017e-09</v>
      </c>
      <c r="H45" s="119" t="n">
        <v>53550</v>
      </c>
      <c r="I45" s="121" t="inlineStr">
        <is>
          <t>—</t>
        </is>
      </c>
      <c r="J45" s="121" t="inlineStr">
        <is>
          <t>—</t>
        </is>
      </c>
      <c r="K45" s="121" t="inlineStr">
        <is>
          <t>—</t>
        </is>
      </c>
      <c r="L45" s="121" t="inlineStr">
        <is>
          <t>—</t>
        </is>
      </c>
      <c r="M45" s="118" t="inlineStr">
        <is>
          <t>Strehlow 1974</t>
        </is>
      </c>
    </row>
    <row r="46" ht="15" customHeight="1">
      <c r="B46" s="162" t="inlineStr">
        <is>
          <t>Nickel_unox_Strehlow74_II</t>
        </is>
      </c>
      <c r="C46" s="162" t="inlineStr">
        <is>
          <t>Pure Ni</t>
        </is>
      </c>
      <c r="D46" s="162" t="inlineStr">
        <is>
          <t>D₂</t>
        </is>
      </c>
      <c r="E46" s="162" t="inlineStr">
        <is>
          <t>B</t>
        </is>
      </c>
      <c r="F46" s="167" t="n">
        <v>896</v>
      </c>
      <c r="G46" s="168" t="n">
        <v>1.117e-09</v>
      </c>
      <c r="H46" s="167" t="n">
        <v>53550</v>
      </c>
      <c r="I46" s="110" t="inlineStr">
        <is>
          <t>—</t>
        </is>
      </c>
      <c r="J46" s="110" t="inlineStr">
        <is>
          <t>—</t>
        </is>
      </c>
      <c r="K46" s="110" t="inlineStr">
        <is>
          <t>—</t>
        </is>
      </c>
      <c r="L46" s="110" t="inlineStr">
        <is>
          <t>—</t>
        </is>
      </c>
      <c r="M46" s="162" t="inlineStr">
        <is>
          <t>Strehlow 1974</t>
        </is>
      </c>
    </row>
    <row r="47" ht="15" customHeight="1">
      <c r="B47" s="118" t="inlineStr">
        <is>
          <t>Nickel_unox_Rohrig75</t>
        </is>
      </c>
      <c r="C47" s="118" t="inlineStr">
        <is>
          <t>Pure Ni</t>
        </is>
      </c>
      <c r="D47" s="118" t="inlineStr">
        <is>
          <t>D₂</t>
        </is>
      </c>
      <c r="E47" s="118" t="inlineStr">
        <is>
          <t>B</t>
        </is>
      </c>
      <c r="F47" s="119" t="n">
        <v>1173</v>
      </c>
      <c r="G47" s="120" t="n">
        <v>4.829e-10</v>
      </c>
      <c r="H47" s="119" t="n">
        <v>53555</v>
      </c>
      <c r="I47" s="121" t="inlineStr">
        <is>
          <t>—</t>
        </is>
      </c>
      <c r="J47" s="121" t="inlineStr">
        <is>
          <t>—</t>
        </is>
      </c>
      <c r="K47" s="121" t="inlineStr">
        <is>
          <t>—</t>
        </is>
      </c>
      <c r="L47" s="121" t="inlineStr">
        <is>
          <t>—</t>
        </is>
      </c>
      <c r="M47" s="118" t="inlineStr">
        <is>
          <t>Rohrig 1975</t>
        </is>
      </c>
    </row>
    <row r="48" ht="15" customHeight="1">
      <c r="B48" s="162" t="inlineStr">
        <is>
          <t>Incoloy600_ox_Rohrig75</t>
        </is>
      </c>
      <c r="C48" s="162" t="inlineStr">
        <is>
          <t>Incoloy 600</t>
        </is>
      </c>
      <c r="D48" s="162" t="inlineStr">
        <is>
          <t>D₂</t>
        </is>
      </c>
      <c r="E48" s="162" t="inlineStr">
        <is>
          <t>B</t>
        </is>
      </c>
      <c r="F48" s="167" t="n">
        <v>1173</v>
      </c>
      <c r="G48" s="168" t="n">
        <v>4.392e-11</v>
      </c>
      <c r="H48" s="167" t="n">
        <v>64015</v>
      </c>
      <c r="I48" s="110" t="inlineStr">
        <is>
          <t>—</t>
        </is>
      </c>
      <c r="J48" s="110" t="inlineStr">
        <is>
          <t>—</t>
        </is>
      </c>
      <c r="K48" s="110" t="inlineStr">
        <is>
          <t>—</t>
        </is>
      </c>
      <c r="L48" s="110" t="inlineStr">
        <is>
          <t>—</t>
        </is>
      </c>
      <c r="M48" s="162" t="inlineStr">
        <is>
          <t>Rohrig 1975</t>
        </is>
      </c>
    </row>
    <row r="49" ht="15" customHeight="1">
      <c r="B49" s="118" t="inlineStr">
        <is>
          <t>Inconel617_Schmidt_1023K</t>
        </is>
      </c>
      <c r="C49" s="118" t="inlineStr">
        <is>
          <t>Inconel 617</t>
        </is>
      </c>
      <c r="D49" s="118" t="inlineStr">
        <is>
          <t>H₂</t>
        </is>
      </c>
      <c r="E49" s="118" t="inlineStr">
        <is>
          <t>B</t>
        </is>
      </c>
      <c r="F49" s="119" t="n">
        <v>1023</v>
      </c>
      <c r="G49" s="120" t="n">
        <v>7.511999999999999e-12</v>
      </c>
      <c r="H49" s="119" t="n">
        <v>68100</v>
      </c>
      <c r="I49" s="121" t="inlineStr">
        <is>
          <t>—</t>
        </is>
      </c>
      <c r="J49" s="121" t="inlineStr">
        <is>
          <t>—</t>
        </is>
      </c>
      <c r="K49" s="121" t="inlineStr">
        <is>
          <t>—</t>
        </is>
      </c>
      <c r="L49" s="121" t="inlineStr">
        <is>
          <t>—</t>
        </is>
      </c>
      <c r="M49" s="118" t="inlineStr">
        <is>
          <t>Schmidt 1985</t>
        </is>
      </c>
    </row>
    <row r="50" ht="15" customHeight="1">
      <c r="B50" s="162" t="inlineStr">
        <is>
          <t>Inconel617_Schmidt_1173K</t>
        </is>
      </c>
      <c r="C50" s="162" t="inlineStr">
        <is>
          <t>Inconel 617</t>
        </is>
      </c>
      <c r="D50" s="162" t="inlineStr">
        <is>
          <t>H₂</t>
        </is>
      </c>
      <c r="E50" s="162" t="inlineStr">
        <is>
          <t>B</t>
        </is>
      </c>
      <c r="F50" s="167" t="n">
        <v>1173</v>
      </c>
      <c r="G50" s="168" t="n">
        <v>2.521e-11</v>
      </c>
      <c r="H50" s="167" t="n">
        <v>83000</v>
      </c>
      <c r="I50" s="110" t="inlineStr">
        <is>
          <t>—</t>
        </is>
      </c>
      <c r="J50" s="110" t="inlineStr">
        <is>
          <t>—</t>
        </is>
      </c>
      <c r="K50" s="110" t="inlineStr">
        <is>
          <t>—</t>
        </is>
      </c>
      <c r="L50" s="110" t="inlineStr">
        <is>
          <t>—</t>
        </is>
      </c>
      <c r="M50" s="162" t="inlineStr">
        <is>
          <t>Schmidt 1985</t>
        </is>
      </c>
    </row>
    <row r="51" ht="15" customHeight="1">
      <c r="B51" s="118" t="inlineStr">
        <is>
          <t>Inconel625_Schmidt</t>
        </is>
      </c>
      <c r="C51" s="118" t="inlineStr">
        <is>
          <t>Inconel 625</t>
        </is>
      </c>
      <c r="D51" s="118" t="inlineStr">
        <is>
          <t>H₂</t>
        </is>
      </c>
      <c r="E51" s="118" t="inlineStr">
        <is>
          <t>B</t>
        </is>
      </c>
      <c r="F51" s="119" t="n">
        <v>1173</v>
      </c>
      <c r="G51" s="120" t="n">
        <v>1.807e-11</v>
      </c>
      <c r="H51" s="119" t="n">
        <v>60000</v>
      </c>
      <c r="I51" s="121" t="inlineStr">
        <is>
          <t>—</t>
        </is>
      </c>
      <c r="J51" s="121" t="inlineStr">
        <is>
          <t>—</t>
        </is>
      </c>
      <c r="K51" s="121" t="inlineStr">
        <is>
          <t>—</t>
        </is>
      </c>
      <c r="L51" s="121" t="inlineStr">
        <is>
          <t>—</t>
        </is>
      </c>
      <c r="M51" s="118" t="inlineStr">
        <is>
          <t>Schmidt 1985</t>
        </is>
      </c>
    </row>
    <row r="52" ht="15" customHeight="1">
      <c r="B52" s="162" t="inlineStr">
        <is>
          <t>Nimonic_PE13</t>
        </is>
      </c>
      <c r="C52" s="162" t="inlineStr">
        <is>
          <t>Nimonic PE-13</t>
        </is>
      </c>
      <c r="D52" s="162" t="inlineStr">
        <is>
          <t>T₂</t>
        </is>
      </c>
      <c r="E52" s="162" t="inlineStr">
        <is>
          <t>A</t>
        </is>
      </c>
      <c r="F52" s="167" t="n">
        <v>1223</v>
      </c>
      <c r="G52" s="168" t="n">
        <v>1.408e-11</v>
      </c>
      <c r="H52" s="167" t="n">
        <v>52300</v>
      </c>
      <c r="I52" s="168" t="n">
        <v>2.063e-10</v>
      </c>
      <c r="J52" s="167" t="n">
        <v>33800</v>
      </c>
      <c r="K52" s="167" t="n">
        <v>0.06825000000000001</v>
      </c>
      <c r="L52" s="167" t="n">
        <v>18500</v>
      </c>
      <c r="M52" s="162" t="inlineStr">
        <is>
          <t>Schmidt 1985</t>
        </is>
      </c>
    </row>
    <row r="53" ht="15" customHeight="1">
      <c r="B53" s="169" t="inlineStr">
        <is>
          <t>X2_NiCr_30_25</t>
        </is>
      </c>
      <c r="C53" s="169" t="inlineStr">
        <is>
          <t>NiCr Schmidt</t>
        </is>
      </c>
      <c r="D53" s="169" t="inlineStr">
        <is>
          <t>T₂</t>
        </is>
      </c>
      <c r="E53" s="169" t="inlineStr">
        <is>
          <t>A</t>
        </is>
      </c>
      <c r="F53" s="123" t="n">
        <v>1223</v>
      </c>
      <c r="G53" s="124" t="n">
        <v>2.048e-12</v>
      </c>
      <c r="H53" s="123" t="n">
        <v>79700</v>
      </c>
      <c r="I53" s="124" t="n">
        <v>1.255e-11</v>
      </c>
      <c r="J53" s="123" t="n">
        <v>69500</v>
      </c>
      <c r="K53" s="123" t="n">
        <v>0.06375</v>
      </c>
      <c r="L53" s="123" t="n">
        <v>10200</v>
      </c>
      <c r="M53" s="169" t="inlineStr">
        <is>
          <t>Schmidt 1985</t>
        </is>
      </c>
    </row>
    <row r="54" ht="15" customHeight="1">
      <c r="B54" s="162" t="inlineStr">
        <is>
          <t>X2_NiCrSi_30_25</t>
        </is>
      </c>
      <c r="C54" s="162" t="inlineStr">
        <is>
          <t>NiCr Schmidt</t>
        </is>
      </c>
      <c r="D54" s="162" t="inlineStr">
        <is>
          <t>T₂</t>
        </is>
      </c>
      <c r="E54" s="162" t="inlineStr">
        <is>
          <t>A</t>
        </is>
      </c>
      <c r="F54" s="167" t="n">
        <v>1223</v>
      </c>
      <c r="G54" s="168" t="n">
        <v>2.164e-14</v>
      </c>
      <c r="H54" s="167" t="n">
        <v>171500</v>
      </c>
      <c r="I54" s="110" t="inlineStr">
        <is>
          <t>—</t>
        </is>
      </c>
      <c r="J54" s="167" t="n">
        <v>102900</v>
      </c>
      <c r="K54" s="110" t="inlineStr">
        <is>
          <t>—</t>
        </is>
      </c>
      <c r="L54" s="167" t="n">
        <v>68600</v>
      </c>
      <c r="M54" s="162" t="inlineStr">
        <is>
          <t>Schmidt 1985</t>
        </is>
      </c>
    </row>
    <row r="55" ht="15" customHeight="1">
      <c r="B55" s="169" t="inlineStr">
        <is>
          <t>X2_NiCrTi_30_25</t>
        </is>
      </c>
      <c r="C55" s="169" t="inlineStr">
        <is>
          <t>NiCr Schmidt</t>
        </is>
      </c>
      <c r="D55" s="169" t="inlineStr">
        <is>
          <t>T₂</t>
        </is>
      </c>
      <c r="E55" s="169" t="inlineStr">
        <is>
          <t>A</t>
        </is>
      </c>
      <c r="F55" s="123" t="n">
        <v>1223</v>
      </c>
      <c r="G55" s="124" t="n">
        <v>2.167e-13</v>
      </c>
      <c r="H55" s="123" t="n">
        <v>91400</v>
      </c>
      <c r="I55" s="124" t="n">
        <v>1.756e-11</v>
      </c>
      <c r="J55" s="123" t="n">
        <v>62300</v>
      </c>
      <c r="K55" s="123" t="n">
        <v>0.001725</v>
      </c>
      <c r="L55" s="123" t="n">
        <v>29100</v>
      </c>
      <c r="M55" s="169" t="inlineStr">
        <is>
          <t>Schmidt 1985</t>
        </is>
      </c>
    </row>
    <row r="56" ht="15" customHeight="1">
      <c r="B56" s="162" t="inlineStr">
        <is>
          <t>X10_NiCrTi_30_25</t>
        </is>
      </c>
      <c r="C56" s="162" t="inlineStr">
        <is>
          <t>NiCr Schmidt</t>
        </is>
      </c>
      <c r="D56" s="162" t="inlineStr">
        <is>
          <t>T₂</t>
        </is>
      </c>
      <c r="E56" s="162" t="inlineStr">
        <is>
          <t>A</t>
        </is>
      </c>
      <c r="F56" s="167" t="n">
        <v>1223</v>
      </c>
      <c r="G56" s="168" t="n">
        <v>4.047e-13</v>
      </c>
      <c r="H56" s="167" t="n">
        <v>88500</v>
      </c>
      <c r="I56" s="168" t="n">
        <v>5.699e-10</v>
      </c>
      <c r="J56" s="167" t="n">
        <v>42600</v>
      </c>
      <c r="K56" s="167" t="n">
        <v>0.03827</v>
      </c>
      <c r="L56" s="167" t="n">
        <v>45900</v>
      </c>
      <c r="M56" s="162" t="inlineStr">
        <is>
          <t>Schmidt 1985</t>
        </is>
      </c>
    </row>
    <row r="57" ht="15" customHeight="1">
      <c r="B57" s="169" t="inlineStr">
        <is>
          <t>X40_NiCrTi_30_25</t>
        </is>
      </c>
      <c r="C57" s="169" t="inlineStr">
        <is>
          <t>NiCr Schmidt</t>
        </is>
      </c>
      <c r="D57" s="169" t="inlineStr">
        <is>
          <t>T₂</t>
        </is>
      </c>
      <c r="E57" s="169" t="inlineStr">
        <is>
          <t>A</t>
        </is>
      </c>
      <c r="F57" s="123" t="n">
        <v>1223</v>
      </c>
      <c r="G57" s="124" t="n">
        <v>4.131e-12</v>
      </c>
      <c r="H57" s="123" t="n">
        <v>56800</v>
      </c>
      <c r="I57" s="124" t="n">
        <v>4.596e-10</v>
      </c>
      <c r="J57" s="123" t="n">
        <v>23400</v>
      </c>
      <c r="K57" s="123" t="n">
        <v>0.0316</v>
      </c>
      <c r="L57" s="123" t="n">
        <v>33400</v>
      </c>
      <c r="M57" s="169" t="inlineStr">
        <is>
          <t>Schmidt 1985</t>
        </is>
      </c>
    </row>
    <row r="58" ht="15" customHeight="1">
      <c r="B58" s="162" t="inlineStr">
        <is>
          <t>X10_NiCr_30_20</t>
        </is>
      </c>
      <c r="C58" s="162" t="inlineStr">
        <is>
          <t>NiCr Schmidt</t>
        </is>
      </c>
      <c r="D58" s="162" t="inlineStr">
        <is>
          <t>T₂</t>
        </is>
      </c>
      <c r="E58" s="162" t="inlineStr">
        <is>
          <t>A</t>
        </is>
      </c>
      <c r="F58" s="167" t="n">
        <v>1223</v>
      </c>
      <c r="G58" s="168" t="n">
        <v>5.071e-13</v>
      </c>
      <c r="H58" s="167" t="n">
        <v>87800</v>
      </c>
      <c r="I58" s="168" t="n">
        <v>1.488e-10</v>
      </c>
      <c r="J58" s="167" t="n">
        <v>48100</v>
      </c>
      <c r="K58" s="167" t="n">
        <v>0.01878</v>
      </c>
      <c r="L58" s="167" t="n">
        <v>39700</v>
      </c>
      <c r="M58" s="162" t="inlineStr">
        <is>
          <t>Schmidt 1985</t>
        </is>
      </c>
    </row>
    <row r="59" ht="15" customHeight="1">
      <c r="B59" s="169" t="inlineStr">
        <is>
          <t>X10_NiCr_30_22</t>
        </is>
      </c>
      <c r="C59" s="169" t="inlineStr">
        <is>
          <t>NiCr Schmidt</t>
        </is>
      </c>
      <c r="D59" s="169" t="inlineStr">
        <is>
          <t>T₂</t>
        </is>
      </c>
      <c r="E59" s="169" t="inlineStr">
        <is>
          <t>A</t>
        </is>
      </c>
      <c r="F59" s="123" t="n">
        <v>1223</v>
      </c>
      <c r="G59" s="124" t="n">
        <v>2.783e-13</v>
      </c>
      <c r="H59" s="123" t="n">
        <v>93300</v>
      </c>
      <c r="I59" s="124" t="n">
        <v>1.274e-10</v>
      </c>
      <c r="J59" s="123" t="n">
        <v>48600</v>
      </c>
      <c r="K59" s="123" t="n">
        <v>0.0184</v>
      </c>
      <c r="L59" s="123" t="n">
        <v>44700</v>
      </c>
      <c r="M59" s="169" t="inlineStr">
        <is>
          <t>Schmidt 1985</t>
        </is>
      </c>
    </row>
    <row r="60" ht="15" customHeight="1">
      <c r="B60" s="162" t="inlineStr">
        <is>
          <t>X10_NiCr_30_26</t>
        </is>
      </c>
      <c r="C60" s="162" t="inlineStr">
        <is>
          <t>NiCr Schmidt</t>
        </is>
      </c>
      <c r="D60" s="162" t="inlineStr">
        <is>
          <t>T₂</t>
        </is>
      </c>
      <c r="E60" s="162" t="inlineStr">
        <is>
          <t>A</t>
        </is>
      </c>
      <c r="F60" s="167" t="n">
        <v>1223</v>
      </c>
      <c r="G60" s="168" t="n">
        <v>3.413e-11</v>
      </c>
      <c r="H60" s="167" t="n">
        <v>198700</v>
      </c>
      <c r="I60" s="110" t="inlineStr">
        <is>
          <t>—</t>
        </is>
      </c>
      <c r="J60" s="167" t="n">
        <v>112800</v>
      </c>
      <c r="K60" s="110" t="inlineStr">
        <is>
          <t>—</t>
        </is>
      </c>
      <c r="L60" s="167" t="n">
        <v>85900</v>
      </c>
      <c r="M60" s="162" t="inlineStr">
        <is>
          <t>Schmidt 1985</t>
        </is>
      </c>
    </row>
    <row r="61" ht="15" customHeight="1">
      <c r="B61" s="118" t="inlineStr">
        <is>
          <t>X10_NiCrAlTi_800H</t>
        </is>
      </c>
      <c r="C61" s="118" t="inlineStr">
        <is>
          <t>Incoloy 800H</t>
        </is>
      </c>
      <c r="D61" s="118" t="inlineStr">
        <is>
          <t>H₂</t>
        </is>
      </c>
      <c r="E61" s="118" t="inlineStr">
        <is>
          <t>B</t>
        </is>
      </c>
      <c r="F61" s="119" t="n">
        <v>1223</v>
      </c>
      <c r="G61" s="120" t="n">
        <v>1.612e-11</v>
      </c>
      <c r="H61" s="119" t="n">
        <v>75200</v>
      </c>
      <c r="I61" s="121" t="inlineStr">
        <is>
          <t>—</t>
        </is>
      </c>
      <c r="J61" s="121" t="inlineStr">
        <is>
          <t>—</t>
        </is>
      </c>
      <c r="K61" s="121" t="inlineStr">
        <is>
          <t>—</t>
        </is>
      </c>
      <c r="L61" s="121" t="inlineStr">
        <is>
          <t>—</t>
        </is>
      </c>
      <c r="M61" s="118" t="inlineStr">
        <is>
          <t>Schmidt 1985</t>
        </is>
      </c>
    </row>
    <row r="62" ht="15" customHeight="1">
      <c r="B62" s="162" t="inlineStr">
        <is>
          <t>X10_NiCrNbAl</t>
        </is>
      </c>
      <c r="C62" s="162" t="inlineStr">
        <is>
          <t>NiCr Schmidt</t>
        </is>
      </c>
      <c r="D62" s="162" t="inlineStr">
        <is>
          <t>H₂</t>
        </is>
      </c>
      <c r="E62" s="162" t="inlineStr">
        <is>
          <t>B</t>
        </is>
      </c>
      <c r="F62" s="167" t="n">
        <v>1223</v>
      </c>
      <c r="G62" s="168" t="n">
        <v>2.754e-11</v>
      </c>
      <c r="H62" s="167" t="n">
        <v>63900</v>
      </c>
      <c r="I62" s="110" t="inlineStr">
        <is>
          <t>—</t>
        </is>
      </c>
      <c r="J62" s="110" t="inlineStr">
        <is>
          <t>—</t>
        </is>
      </c>
      <c r="K62" s="110" t="inlineStr">
        <is>
          <t>—</t>
        </is>
      </c>
      <c r="L62" s="110" t="inlineStr">
        <is>
          <t>—</t>
        </is>
      </c>
      <c r="M62" s="162" t="inlineStr">
        <is>
          <t>Schmidt 1985</t>
        </is>
      </c>
    </row>
    <row r="63" ht="15" customHeight="1">
      <c r="B63" s="118" t="inlineStr">
        <is>
          <t>X10_NiCrNbAlTi</t>
        </is>
      </c>
      <c r="C63" s="118" t="inlineStr">
        <is>
          <t>NiCr Schmidt</t>
        </is>
      </c>
      <c r="D63" s="118" t="inlineStr">
        <is>
          <t>H₂</t>
        </is>
      </c>
      <c r="E63" s="118" t="inlineStr">
        <is>
          <t>B</t>
        </is>
      </c>
      <c r="F63" s="119" t="n">
        <v>1223</v>
      </c>
      <c r="G63" s="120" t="n">
        <v>9.183000000000001e-12</v>
      </c>
      <c r="H63" s="119" t="n">
        <v>63900</v>
      </c>
      <c r="I63" s="121" t="inlineStr">
        <is>
          <t>—</t>
        </is>
      </c>
      <c r="J63" s="121" t="inlineStr">
        <is>
          <t>—</t>
        </is>
      </c>
      <c r="K63" s="121" t="inlineStr">
        <is>
          <t>—</t>
        </is>
      </c>
      <c r="L63" s="121" t="inlineStr">
        <is>
          <t>—</t>
        </is>
      </c>
      <c r="M63" s="118" t="inlineStr">
        <is>
          <t>Schmidt 1985</t>
        </is>
      </c>
    </row>
    <row r="64" ht="15" customHeight="1">
      <c r="B64" s="162" t="inlineStr">
        <is>
          <t>NiCr_22_FeW</t>
        </is>
      </c>
      <c r="C64" s="162" t="inlineStr">
        <is>
          <t>NiCr Schmidt</t>
        </is>
      </c>
      <c r="D64" s="162" t="inlineStr">
        <is>
          <t>H₂</t>
        </is>
      </c>
      <c r="E64" s="162" t="inlineStr">
        <is>
          <t>B</t>
        </is>
      </c>
      <c r="F64" s="167" t="n">
        <v>1223</v>
      </c>
      <c r="G64" s="168" t="n">
        <v>2.564e-11</v>
      </c>
      <c r="H64" s="167" t="n">
        <v>46700</v>
      </c>
      <c r="I64" s="110" t="inlineStr">
        <is>
          <t>—</t>
        </is>
      </c>
      <c r="J64" s="110" t="inlineStr">
        <is>
          <t>—</t>
        </is>
      </c>
      <c r="K64" s="110" t="inlineStr">
        <is>
          <t>—</t>
        </is>
      </c>
      <c r="L64" s="110" t="inlineStr">
        <is>
          <t>—</t>
        </is>
      </c>
      <c r="M64" s="162" t="inlineStr">
        <is>
          <t>Schmidt 1985</t>
        </is>
      </c>
    </row>
    <row r="65" ht="15" customHeight="1">
      <c r="B65" s="118" t="inlineStr">
        <is>
          <t>X25_NiCrNb_30_27</t>
        </is>
      </c>
      <c r="C65" s="118" t="inlineStr">
        <is>
          <t>NiCr Schmidt</t>
        </is>
      </c>
      <c r="D65" s="118" t="inlineStr">
        <is>
          <t>H₂</t>
        </is>
      </c>
      <c r="E65" s="118" t="inlineStr">
        <is>
          <t>B</t>
        </is>
      </c>
      <c r="F65" s="119" t="n">
        <v>1223</v>
      </c>
      <c r="G65" s="120" t="n">
        <v>7.007e-12</v>
      </c>
      <c r="H65" s="119" t="n">
        <v>70700</v>
      </c>
      <c r="I65" s="121" t="inlineStr">
        <is>
          <t>—</t>
        </is>
      </c>
      <c r="J65" s="121" t="inlineStr">
        <is>
          <t>—</t>
        </is>
      </c>
      <c r="K65" s="121" t="inlineStr">
        <is>
          <t>—</t>
        </is>
      </c>
      <c r="L65" s="121" t="inlineStr">
        <is>
          <t>—</t>
        </is>
      </c>
      <c r="M65" s="118" t="inlineStr">
        <is>
          <t>Schmidt 1985</t>
        </is>
      </c>
    </row>
    <row r="66" ht="15" customHeight="1">
      <c r="B66" s="162" t="inlineStr">
        <is>
          <t>X25_NiCrNbCe_30_30</t>
        </is>
      </c>
      <c r="C66" s="162" t="inlineStr">
        <is>
          <t>NiCr Schmidt</t>
        </is>
      </c>
      <c r="D66" s="162" t="inlineStr">
        <is>
          <t>H₂</t>
        </is>
      </c>
      <c r="E66" s="162" t="inlineStr">
        <is>
          <t>B</t>
        </is>
      </c>
      <c r="F66" s="167" t="n">
        <v>1223</v>
      </c>
      <c r="G66" s="168" t="n">
        <v>5.025e-14</v>
      </c>
      <c r="H66" s="167" t="n">
        <v>135400</v>
      </c>
      <c r="I66" s="110" t="inlineStr">
        <is>
          <t>—</t>
        </is>
      </c>
      <c r="J66" s="110" t="inlineStr">
        <is>
          <t>—</t>
        </is>
      </c>
      <c r="K66" s="110" t="inlineStr">
        <is>
          <t>—</t>
        </is>
      </c>
      <c r="L66" s="110" t="inlineStr">
        <is>
          <t>—</t>
        </is>
      </c>
      <c r="M66" s="162" t="inlineStr">
        <is>
          <t>Schmidt 1985</t>
        </is>
      </c>
    </row>
    <row r="67" ht="15" customHeight="1">
      <c r="B67" s="118" t="inlineStr">
        <is>
          <t>X25_NiCrCoNb_30_27</t>
        </is>
      </c>
      <c r="C67" s="118" t="inlineStr">
        <is>
          <t>NiCr Schmidt</t>
        </is>
      </c>
      <c r="D67" s="118" t="inlineStr">
        <is>
          <t>H₂</t>
        </is>
      </c>
      <c r="E67" s="118" t="inlineStr">
        <is>
          <t>B</t>
        </is>
      </c>
      <c r="F67" s="119" t="n">
        <v>1223</v>
      </c>
      <c r="G67" s="120" t="n">
        <v>3.825e-12</v>
      </c>
      <c r="H67" s="119" t="n">
        <v>78300</v>
      </c>
      <c r="I67" s="121" t="inlineStr">
        <is>
          <t>—</t>
        </is>
      </c>
      <c r="J67" s="121" t="inlineStr">
        <is>
          <t>—</t>
        </is>
      </c>
      <c r="K67" s="121" t="inlineStr">
        <is>
          <t>—</t>
        </is>
      </c>
      <c r="L67" s="121" t="inlineStr">
        <is>
          <t>—</t>
        </is>
      </c>
      <c r="M67" s="118" t="inlineStr">
        <is>
          <t>Schmidt 1985</t>
        </is>
      </c>
    </row>
    <row r="68" ht="15" customHeight="1">
      <c r="B68" s="162" t="inlineStr">
        <is>
          <t>X25_NiCrSiNbCe_35_27</t>
        </is>
      </c>
      <c r="C68" s="162" t="inlineStr">
        <is>
          <t>NiCr Schmidt</t>
        </is>
      </c>
      <c r="D68" s="162" t="inlineStr">
        <is>
          <t>H₂</t>
        </is>
      </c>
      <c r="E68" s="162" t="inlineStr">
        <is>
          <t>B</t>
        </is>
      </c>
      <c r="F68" s="167" t="n">
        <v>1223</v>
      </c>
      <c r="G68" s="168" t="n">
        <v>3.291e-11</v>
      </c>
      <c r="H68" s="167" t="n">
        <v>62100</v>
      </c>
      <c r="I68" s="110" t="inlineStr">
        <is>
          <t>—</t>
        </is>
      </c>
      <c r="J68" s="110" t="inlineStr">
        <is>
          <t>—</t>
        </is>
      </c>
      <c r="K68" s="110" t="inlineStr">
        <is>
          <t>—</t>
        </is>
      </c>
      <c r="L68" s="110" t="inlineStr">
        <is>
          <t>—</t>
        </is>
      </c>
      <c r="M68" s="162" t="inlineStr">
        <is>
          <t>Schmidt 1985</t>
        </is>
      </c>
    </row>
    <row r="69" ht="15" customHeight="1">
      <c r="B69" s="169" t="inlineStr">
        <is>
          <t>Incoloy802</t>
        </is>
      </c>
      <c r="C69" s="169" t="inlineStr">
        <is>
          <t>Incoloy 802</t>
        </is>
      </c>
      <c r="D69" s="169" t="inlineStr">
        <is>
          <t>T₂</t>
        </is>
      </c>
      <c r="E69" s="169" t="inlineStr">
        <is>
          <t>A</t>
        </is>
      </c>
      <c r="F69" s="123" t="n">
        <v>1223</v>
      </c>
      <c r="G69" s="124" t="n">
        <v>3.514e-12</v>
      </c>
      <c r="H69" s="123" t="n">
        <v>79400</v>
      </c>
      <c r="I69" s="124" t="n">
        <v>4.048e-10</v>
      </c>
      <c r="J69" s="123" t="n">
        <v>72200</v>
      </c>
      <c r="K69" s="123" t="n">
        <v>0.03802</v>
      </c>
      <c r="L69" s="123" t="n">
        <v>7200</v>
      </c>
      <c r="M69" s="169" t="inlineStr">
        <is>
          <t>Schmidt 1985</t>
        </is>
      </c>
    </row>
    <row r="72" ht="20" customHeight="1">
      <c r="B72" s="125" t="inlineStr">
        <is>
          <t>METHODOLOGY — How This Analysis Was Constructed</t>
        </is>
      </c>
    </row>
    <row r="73" ht="30" customHeight="1">
      <c r="B73" s="126" t="inlineStr">
        <is>
          <t>This section documents every decision made to produce the defaults and ranges in Sections 1–4 above. It is written to be self-contained so the analysis can be reproduced, audited, or updated when new data are added to the database. Each sub-section corresponds to one stage of the pipeline.</t>
        </is>
      </c>
    </row>
    <row r="74" ht="8" customHeight="1"/>
    <row r="75" ht="20" customHeight="1">
      <c r="B75" s="127" t="inlineStr">
        <is>
          <t>M1.  Scope and Entry Selection</t>
        </is>
      </c>
    </row>
    <row r="76" ht="30" customHeight="1">
      <c r="B76" s="128" t="inlineStr">
        <is>
          <t>The starting point is the Metals_Bulk_H2 sheet (76 entries, all scaled to H₂ equivalent). Entries were classified into three groups: Ni-base alloys (included in this analysis), Incoloy 800 (treated separately by user decision), and all other alloys (excluded).</t>
        </is>
      </c>
    </row>
    <row r="77" ht="18" customHeight="1">
      <c r="B77" s="129" t="inlineStr">
        <is>
          <t>M1.1  Ni-base inclusion criterion</t>
        </is>
      </c>
    </row>
    <row r="78" ht="50" customHeight="1">
      <c r="B78" s="130" t="inlineStr">
        <is>
          <t>An entry is classified as Ni-base if Ni is the majority or primary structural element. This includes: pure Ni, Hastelloy N (Ni-15Mo-7Cr), Incoloy 600 (Ni-15Cr-8Fe), Inconel 617 (Ni-22Cr-CoMoAl), Inconel 625 (Ni-22Cr-MoFeNb), Nimonic PE-13, Incoloy 802 (Ni-based, not 800-series), Incoloy 800H (32Ni-12Al-Ti variant), and the Schmidt 1985 NiCr family (X2, X10, X25, X40 series with Ni-30Cr base). Total: 29 entries.</t>
        </is>
      </c>
    </row>
    <row r="79" ht="18" customHeight="1">
      <c r="B79" s="129" t="inlineStr">
        <is>
          <t>M1.2  Incoloy 800 exclusion</t>
        </is>
      </c>
    </row>
    <row r="80" ht="50" customHeight="1">
      <c r="B80" s="131" t="inlineStr">
        <is>
          <t>Incoloy 800 (Fe-32Ni-21Cr, ~32% Ni) sits chemically between austenitic SS and Ni-base alloys. It was excluded from the Ni-base group at the user's explicit decision to keep the analysis focused on alloys where Ni dominates transport behaviour. Incoloy 800 entries (9 total: Strehlow 1974, Rohrig 1975, Schmidt 1985 v1/v2, JAERI 2002) are retained in the Metals_Bulk and Metals_Bulk_H2 sheets for reference.</t>
        </is>
      </c>
    </row>
    <row r="81" ht="18" customHeight="1">
      <c r="B81" s="129" t="inlineStr">
        <is>
          <t>M1.3  Entries classified by key substring</t>
        </is>
      </c>
    </row>
    <row r="82" ht="30" customHeight="1">
      <c r="B82" s="38" t="inlineStr">
        <is>
          <t>Classification</t>
        </is>
      </c>
      <c r="C82" s="38" t="inlineStr">
        <is>
          <t>Key substring pattern</t>
        </is>
      </c>
      <c r="D82" s="38" t="inlineStr">
        <is>
          <t>n</t>
        </is>
      </c>
      <c r="E82" s="38" t="inlineStr">
        <is>
          <t>Subgroup label</t>
        </is>
      </c>
      <c r="F82" s="38" t="inlineStr">
        <is>
          <t>Primary source</t>
        </is>
      </c>
    </row>
    <row r="83" ht="16" customHeight="1">
      <c r="B83" s="132" t="inlineStr">
        <is>
          <t>Ni-base ✓</t>
        </is>
      </c>
      <c r="C83" s="132" t="inlineStr">
        <is>
          <t>Hastelloy_N_*</t>
        </is>
      </c>
      <c r="D83" s="133" t="n">
        <v>4</v>
      </c>
      <c r="E83" s="132" t="inlineStr">
        <is>
          <t>Hastelloy N</t>
        </is>
      </c>
      <c r="F83" s="132" t="inlineStr">
        <is>
          <t>Strehlow 1974; Rohrig 1975</t>
        </is>
      </c>
    </row>
    <row r="84" ht="16" customHeight="1">
      <c r="B84" s="132" t="inlineStr">
        <is>
          <t>Ni-base ✓</t>
        </is>
      </c>
      <c r="C84" s="132" t="inlineStr">
        <is>
          <t>Nickel_*</t>
        </is>
      </c>
      <c r="D84" s="133" t="n">
        <v>3</v>
      </c>
      <c r="E84" s="132" t="inlineStr">
        <is>
          <t>Pure Ni</t>
        </is>
      </c>
      <c r="F84" s="132" t="inlineStr">
        <is>
          <t>Strehlow 1974; Rohrig 1975</t>
        </is>
      </c>
    </row>
    <row r="85" ht="16" customHeight="1">
      <c r="B85" s="132" t="inlineStr">
        <is>
          <t>Ni-base ✓</t>
        </is>
      </c>
      <c r="C85" s="132" t="inlineStr">
        <is>
          <t>Incoloy600_*</t>
        </is>
      </c>
      <c r="D85" s="133" t="n">
        <v>1</v>
      </c>
      <c r="E85" s="132" t="inlineStr">
        <is>
          <t>Incoloy 600</t>
        </is>
      </c>
      <c r="F85" s="132" t="inlineStr">
        <is>
          <t>Rohrig 1975</t>
        </is>
      </c>
    </row>
    <row r="86" ht="16" customHeight="1">
      <c r="B86" s="132" t="inlineStr">
        <is>
          <t>Ni-base ✓</t>
        </is>
      </c>
      <c r="C86" s="132" t="inlineStr">
        <is>
          <t>*Inconel617*</t>
        </is>
      </c>
      <c r="D86" s="133" t="n">
        <v>2</v>
      </c>
      <c r="E86" s="132" t="inlineStr">
        <is>
          <t>Inconel 617</t>
        </is>
      </c>
      <c r="F86" s="132" t="inlineStr">
        <is>
          <t>Schmidt 1985</t>
        </is>
      </c>
    </row>
    <row r="87" ht="16" customHeight="1">
      <c r="B87" s="132" t="inlineStr">
        <is>
          <t>Ni-base ✓</t>
        </is>
      </c>
      <c r="C87" s="132" t="inlineStr">
        <is>
          <t>*Inconel625*</t>
        </is>
      </c>
      <c r="D87" s="133" t="n">
        <v>1</v>
      </c>
      <c r="E87" s="132" t="inlineStr">
        <is>
          <t>Inconel 625</t>
        </is>
      </c>
      <c r="F87" s="132" t="inlineStr">
        <is>
          <t>Schmidt 1985</t>
        </is>
      </c>
    </row>
    <row r="88" ht="16" customHeight="1">
      <c r="B88" s="132" t="inlineStr">
        <is>
          <t>Ni-base ✓</t>
        </is>
      </c>
      <c r="C88" s="132" t="inlineStr">
        <is>
          <t>*Nimonic*</t>
        </is>
      </c>
      <c r="D88" s="133" t="n">
        <v>1</v>
      </c>
      <c r="E88" s="132" t="inlineStr">
        <is>
          <t>Nimonic PE-13</t>
        </is>
      </c>
      <c r="F88" s="132" t="inlineStr">
        <is>
          <t>Schmidt 1985</t>
        </is>
      </c>
    </row>
    <row r="89" ht="16" customHeight="1">
      <c r="B89" s="132" t="inlineStr">
        <is>
          <t>Ni-base ✓</t>
        </is>
      </c>
      <c r="C89" s="132" t="inlineStr">
        <is>
          <t>*Incoloy802*</t>
        </is>
      </c>
      <c r="D89" s="133" t="n">
        <v>1</v>
      </c>
      <c r="E89" s="132" t="inlineStr">
        <is>
          <t>Incoloy 802</t>
        </is>
      </c>
      <c r="F89" s="132" t="inlineStr">
        <is>
          <t>Schmidt 1985</t>
        </is>
      </c>
    </row>
    <row r="90" ht="16" customHeight="1">
      <c r="B90" s="132" t="inlineStr">
        <is>
          <t>Ni-base ✓</t>
        </is>
      </c>
      <c r="C90" s="132" t="inlineStr">
        <is>
          <t>*Incoloy800H*</t>
        </is>
      </c>
      <c r="D90" s="133" t="n">
        <v>1</v>
      </c>
      <c r="E90" s="132" t="inlineStr">
        <is>
          <t>Incoloy 800H</t>
        </is>
      </c>
      <c r="F90" s="132" t="inlineStr">
        <is>
          <t>Schmidt 1985</t>
        </is>
      </c>
    </row>
    <row r="91" ht="16" customHeight="1">
      <c r="B91" s="132" t="inlineStr">
        <is>
          <t>Ni-base ✓</t>
        </is>
      </c>
      <c r="C91" s="132" t="inlineStr">
        <is>
          <t>X2_NiCr*, X10_*, X25_*, X40_NiCr*, NiCr_22_*</t>
        </is>
      </c>
      <c r="D91" s="133" t="n">
        <v>15</v>
      </c>
      <c r="E91" s="132" t="inlineStr">
        <is>
          <t>NiCr alloy (Schmidt)</t>
        </is>
      </c>
      <c r="F91" s="132" t="inlineStr">
        <is>
          <t>Schmidt 1985</t>
        </is>
      </c>
    </row>
    <row r="92" ht="16" customHeight="1">
      <c r="B92" s="134" t="inlineStr">
        <is>
          <t>Excluded</t>
        </is>
      </c>
      <c r="C92" s="134" t="inlineStr">
        <is>
          <t>Incoloy800_*; *1.4876*; Incoloy800_JAERI*</t>
        </is>
      </c>
      <c r="D92" s="135" t="n">
        <v>9</v>
      </c>
      <c r="E92" s="134" t="inlineStr">
        <is>
          <t>Incoloy 800</t>
        </is>
      </c>
      <c r="F92" s="134" t="inlineStr">
        <is>
          <t>Strehlow/Rohrig/Schmidt/JAERI</t>
        </is>
      </c>
    </row>
    <row r="93" ht="16" customHeight="1">
      <c r="B93" s="136" t="inlineStr">
        <is>
          <t>Excluded</t>
        </is>
      </c>
      <c r="C93" s="136" t="inlineStr">
        <is>
          <t>All other keys</t>
        </is>
      </c>
      <c r="D93" s="137" t="n">
        <v>38</v>
      </c>
      <c r="E93" s="136" t="inlineStr">
        <is>
          <t>316L, SS, Croloy, Fe, etc.</t>
        </is>
      </c>
      <c r="F93" s="136" t="inlineStr">
        <is>
          <t>Various</t>
        </is>
      </c>
    </row>
    <row r="94" ht="8" customHeight="1"/>
    <row r="95" ht="20" customHeight="1">
      <c r="B95" s="127" t="inlineStr">
        <is>
          <t>M2.  Isotope Scaling Applied Before Analysis</t>
        </is>
      </c>
    </row>
    <row r="96" ht="50" customHeight="1">
      <c r="B96" s="128" t="inlineStr">
        <is>
          <t>All parameter values used in this analysis are H₂ equivalents taken from the Metals_Bulk_H2 sheet. The scaling was performed in a prior step (documented in the Isotope_Scaling_Method sheet). In summary: D_ref, D_0, Phi_ref, Phi_0 are multiplied by √(m_iso/m_H) — i.e. ×√2 for D₂ entries and ×√3 for T₂ entries. Activation energies (E_D, Q_p, H_s) and solubility (Ks_ref, K_s0) are unchanged.</t>
        </is>
      </c>
    </row>
    <row r="97" ht="30" customHeight="1">
      <c r="B97" s="38" t="inlineStr">
        <is>
          <t>Original gas</t>
        </is>
      </c>
      <c r="C97" s="38" t="inlineStr">
        <is>
          <t>Entries in Ni-base group</t>
        </is>
      </c>
      <c r="D97" s="38" t="inlineStr">
        <is>
          <t>Scale factor applied</t>
        </is>
      </c>
      <c r="E97" s="38" t="inlineStr">
        <is>
          <t>Parameters scaled</t>
        </is>
      </c>
      <c r="F97" s="38" t="inlineStr">
        <is>
          <t>Parameters unchanged</t>
        </is>
      </c>
    </row>
    <row r="98" ht="16" customHeight="1">
      <c r="B98" s="19" t="inlineStr">
        <is>
          <t>H₂</t>
        </is>
      </c>
      <c r="C98" s="19" t="inlineStr">
        <is>
          <t>12 entries</t>
        </is>
      </c>
      <c r="D98" s="19" t="inlineStr">
        <is>
          <t>×1.0000 (none)</t>
        </is>
      </c>
      <c r="E98" s="19" t="inlineStr">
        <is>
          <t>All carried as measured</t>
        </is>
      </c>
      <c r="F98" s="19" t="inlineStr">
        <is>
          <t>—</t>
        </is>
      </c>
    </row>
    <row r="99" ht="16" customHeight="1">
      <c r="B99" s="15" t="inlineStr">
        <is>
          <t>D₂</t>
        </is>
      </c>
      <c r="C99" s="15" t="inlineStr">
        <is>
          <t>10 entries</t>
        </is>
      </c>
      <c r="D99" s="15" t="inlineStr">
        <is>
          <t>×√2 = 1.4142</t>
        </is>
      </c>
      <c r="E99" s="15" t="inlineStr">
        <is>
          <t>D_ref, D_0, Phi_ref, Phi_0</t>
        </is>
      </c>
      <c r="F99" s="15" t="inlineStr">
        <is>
          <t>E_D, Q_p, H_s, Ks_ref, K_s0</t>
        </is>
      </c>
    </row>
    <row r="100" ht="16" customHeight="1">
      <c r="B100" s="19" t="inlineStr">
        <is>
          <t>T₂</t>
        </is>
      </c>
      <c r="C100" s="19" t="inlineStr">
        <is>
          <t>7 entries</t>
        </is>
      </c>
      <c r="D100" s="19" t="inlineStr">
        <is>
          <t>×√3 = 1.7321</t>
        </is>
      </c>
      <c r="E100" s="19" t="inlineStr">
        <is>
          <t>D_ref, D_0, Phi_ref, Phi_0</t>
        </is>
      </c>
      <c r="F100" s="19" t="inlineStr">
        <is>
          <t>E_D, Q_p, H_s, Ks_ref, K_s0</t>
        </is>
      </c>
    </row>
    <row r="101" ht="8" customHeight="1"/>
    <row r="102" ht="20" customHeight="1">
      <c r="B102" s="127" t="inlineStr">
        <is>
          <t>M3.  Data Quality Tiers — Classification Logic</t>
        </is>
      </c>
    </row>
    <row r="103" ht="30" customHeight="1">
      <c r="B103" s="128" t="inlineStr">
        <is>
          <t>Each entry was assigned to one of four tiers based on which Arrhenius parameters were present. Tier assignment determines which statistics each entry contributes to. Entries are evaluated in order: Tier A first, then B, then C, then X.</t>
        </is>
      </c>
    </row>
    <row r="104" ht="30" customHeight="1">
      <c r="B104" s="38" t="inlineStr">
        <is>
          <t>Tier</t>
        </is>
      </c>
      <c r="C104" s="38" t="inlineStr">
        <is>
          <t>Definition</t>
        </is>
      </c>
      <c r="D104" s="38" t="inlineStr">
        <is>
          <t>n in Ni-base</t>
        </is>
      </c>
      <c r="E104" s="38" t="inlineStr">
        <is>
          <t>Parameters available</t>
        </is>
      </c>
      <c r="F104" s="38" t="inlineStr">
        <is>
          <t>Contributes to</t>
        </is>
      </c>
      <c r="G104" s="38" t="inlineStr">
        <is>
          <t>Does NOT contribute to</t>
        </is>
      </c>
    </row>
    <row r="105" ht="22" customHeight="1">
      <c r="B105" s="132" t="inlineStr">
        <is>
          <t>A — Full Arrhenius</t>
        </is>
      </c>
      <c r="C105" s="132" t="inlineStr">
        <is>
          <t>D_ref, E_D, D_0, Ks_ref, H_s, K_s0 all present</t>
        </is>
      </c>
      <c r="D105" s="241" t="inlineStr">
        <is>
          <t>10</t>
        </is>
      </c>
      <c r="E105" s="132" t="inlineStr">
        <is>
          <t>Complete D+Ks+Phi at any T via Arrhenius</t>
        </is>
      </c>
      <c r="F105" s="132" t="inlineStr">
        <is>
          <t>All 6 parameter defaults (Phi, Q_p, D, E_D, Ks, H_s)</t>
        </is>
      </c>
      <c r="G105" s="132" t="inlineStr">
        <is>
          <t>Nothing excluded</t>
        </is>
      </c>
    </row>
    <row r="106" ht="22" customHeight="1">
      <c r="B106" s="139" t="inlineStr">
        <is>
          <t>B — Phi Arrhenius only</t>
        </is>
      </c>
      <c r="C106" s="139" t="inlineStr">
        <is>
          <t>Phi_ref, Q_p, Phi_0 present; D and Ks not separated</t>
        </is>
      </c>
      <c r="D106" s="140" t="inlineStr">
        <is>
          <t>15</t>
        </is>
      </c>
      <c r="E106" s="139" t="inlineStr">
        <is>
          <t>Phi(T) and Q_p at any T; D and Ks unknown</t>
        </is>
      </c>
      <c r="F106" s="139" t="inlineStr">
        <is>
          <t>Phi(800K) default; Q_p default</t>
        </is>
      </c>
      <c r="G106" s="139" t="inlineStr">
        <is>
          <t>D_ref, E_D, Ks_ref, H_s defaults</t>
        </is>
      </c>
    </row>
    <row r="107" ht="22" customHeight="1">
      <c r="B107" s="134" t="inlineStr">
        <is>
          <t>C — Single T point</t>
        </is>
      </c>
      <c r="C107" s="134" t="inlineStr">
        <is>
          <t>Only Phi_ref at one T_ref, no Q_p</t>
        </is>
      </c>
      <c r="D107" s="141" t="inlineStr">
        <is>
          <t>3</t>
        </is>
      </c>
      <c r="E107" s="134" t="inlineStr">
        <is>
          <t>Phi at native T_ref only; no extrapolation</t>
        </is>
      </c>
      <c r="F107" s="134" t="inlineStr">
        <is>
          <t>Phi(800K) only if |T_ref − 800| &lt; 100 K</t>
        </is>
      </c>
      <c r="G107" s="134" t="inlineStr">
        <is>
          <t>Q_p, D, E_D, Ks, H_s defaults</t>
        </is>
      </c>
    </row>
    <row r="108" ht="22" customHeight="1">
      <c r="B108" s="136" t="inlineStr">
        <is>
          <t>X — Insufficient</t>
        </is>
      </c>
      <c r="C108" s="136" t="inlineStr">
        <is>
          <t>No Phi_ref and no Arrhenius parameters</t>
        </is>
      </c>
      <c r="D108" s="142" t="inlineStr">
        <is>
          <t>1</t>
        </is>
      </c>
      <c r="E108" s="136" t="inlineStr">
        <is>
          <t>No evaluable transport parameters</t>
        </is>
      </c>
      <c r="F108" s="136" t="inlineStr">
        <is>
          <t>Excluded from all statistics</t>
        </is>
      </c>
      <c r="G108" s="136" t="inlineStr">
        <is>
          <t>All defaults</t>
        </is>
      </c>
    </row>
    <row r="109" ht="8" customHeight="1"/>
    <row r="110" ht="20" customHeight="1">
      <c r="B110" s="127" t="inlineStr">
        <is>
          <t>M4.  Arrhenius Evaluation at T = 800 K</t>
        </is>
      </c>
    </row>
    <row r="111" ht="50" customHeight="1">
      <c r="B111" s="128" t="inlineStr">
        <is>
          <t>Each entry has its own native T_ref (ranging from 842 K to 1223 K). To compare entries on equal footing, all parameters were evaluated at a single common temperature T_eval = 800 K using the standard Arrhenius equation. T = 800 K was chosen as the operating reference because it sits within the valid temperature range of most entries and represents a conservative lower bound for the target operating regime.</t>
        </is>
      </c>
    </row>
    <row r="112" ht="18" customHeight="1">
      <c r="B112" s="129" t="inlineStr">
        <is>
          <t>M4.1  Evaluation formulae</t>
        </is>
      </c>
    </row>
    <row r="113" ht="30" customHeight="1">
      <c r="B113" s="38" t="inlineStr">
        <is>
          <t>Parameter</t>
        </is>
      </c>
      <c r="C113" s="38" t="inlineStr">
        <is>
          <t>Formula</t>
        </is>
      </c>
      <c r="D113" s="38" t="inlineStr">
        <is>
          <t>Applicable tiers</t>
        </is>
      </c>
      <c r="E113" s="38" t="inlineStr">
        <is>
          <t>Conditions</t>
        </is>
      </c>
    </row>
    <row r="114" ht="18" customHeight="1">
      <c r="B114" s="19" t="inlineStr">
        <is>
          <t>D(800K)</t>
        </is>
      </c>
      <c r="C114" s="19" t="inlineStr">
        <is>
          <t>D_ref × exp(−E_D/R × (1/800 − 1/T_ref))</t>
        </is>
      </c>
      <c r="D114" s="19" t="inlineStr">
        <is>
          <t>Tier A entries only</t>
        </is>
      </c>
      <c r="E114" s="19" t="inlineStr">
        <is>
          <t>D_ref and E_D both required</t>
        </is>
      </c>
    </row>
    <row r="115" ht="18" customHeight="1">
      <c r="B115" s="15" t="inlineStr">
        <is>
          <t>Ks(800K)</t>
        </is>
      </c>
      <c r="C115" s="15" t="inlineStr">
        <is>
          <t>Ks_ref × exp(−H_s/R × (1/800 − 1/T_ref))</t>
        </is>
      </c>
      <c r="D115" s="15" t="inlineStr">
        <is>
          <t>Tier A entries only</t>
        </is>
      </c>
      <c r="E115" s="15" t="inlineStr">
        <is>
          <t>Ks_ref and H_s both required</t>
        </is>
      </c>
    </row>
    <row r="116" ht="18" customHeight="1">
      <c r="B116" s="19" t="inlineStr">
        <is>
          <t>Phi(800K)</t>
        </is>
      </c>
      <c r="C116" s="19" t="inlineStr">
        <is>
          <t>Phi_ref × exp(−Q_p/R × (1/800 − 1/T_ref))</t>
        </is>
      </c>
      <c r="D116" s="19" t="inlineStr">
        <is>
          <t>Tiers A and B</t>
        </is>
      </c>
      <c r="E116" s="19" t="inlineStr">
        <is>
          <t>Phi_ref and Q_p both required</t>
        </is>
      </c>
    </row>
    <row r="117" ht="18" customHeight="1">
      <c r="B117" s="15" t="inlineStr">
        <is>
          <t>Phi(800K)</t>
        </is>
      </c>
      <c r="C117" s="15" t="inlineStr">
        <is>
          <t>D(800K) × Ks(800K)  [fallback]</t>
        </is>
      </c>
      <c r="D117" s="15" t="inlineStr">
        <is>
          <t>Tier A only</t>
        </is>
      </c>
      <c r="E117" s="15" t="inlineStr">
        <is>
          <t>Used when Phi_ref absent but D+Ks both available</t>
        </is>
      </c>
    </row>
    <row r="118" ht="18" customHeight="1">
      <c r="B118" s="19" t="inlineStr">
        <is>
          <t>Phi(800K)</t>
        </is>
      </c>
      <c r="C118" s="19" t="inlineStr">
        <is>
          <t>Phi_ref directly  [single-T fallback]</t>
        </is>
      </c>
      <c r="D118" s="19" t="inlineStr">
        <is>
          <t>Tier C only</t>
        </is>
      </c>
      <c r="E118" s="19" t="inlineStr">
        <is>
          <t>Only used if |T_ref − 800| &lt; 100 K; otherwise excluded</t>
        </is>
      </c>
    </row>
    <row r="119" ht="40" customHeight="1">
      <c r="B119" s="143" t="inlineStr">
        <is>
          <t>Note: for Tier C entries (Strehlow 1974 Hastelloy N tableI and tableII), T_ref = 896 K and 842 K respectively. TableII (T_ref=842K) passes the |T_ref−800| &lt; 100K criterion and contributes Phi(800K) = Phi_ref × √2 = 3.97×10⁻¹⁰ mol/m/s/Pa⁰·⁵. TableI has no Phi_ref at all and is classified Tier X.</t>
        </is>
      </c>
    </row>
    <row r="120" ht="8" customHeight="1"/>
    <row r="121" ht="20" customHeight="1">
      <c r="B121" s="127" t="inlineStr">
        <is>
          <t>M5.  Statistical Methods</t>
        </is>
      </c>
    </row>
    <row r="122" ht="18" customHeight="1">
      <c r="B122" s="129" t="inlineStr">
        <is>
          <t>M5.1  Geometric mean and GSD for magnitude parameters</t>
        </is>
      </c>
    </row>
    <row r="123" ht="90" customHeight="1">
      <c r="B123" s="128" t="inlineStr">
        <is>
          <t>Transport coefficients (D, Ks, Phi) span multiple orders of magnitude and follow log-normal distributions — their uncertainty is multiplicative, not additive. The appropriate central tendency is therefore the geometric mean (GM), and the spread is expressed as the geometric standard deviation (GSD).
GM = exp( mean(ln(xᵢ)) )
GSD = exp( std(ln(xᵢ)) )    [ddof=1 for sample standard deviation]
Sensitivity range = [GM / GSD, GM × GSD]  (approximately the 16th–84th percentile of a log-normal)
The sensitivity range spans ±1 GSD in log space, equivalent to a factor of GSD on each side.</t>
        </is>
      </c>
    </row>
    <row r="124" ht="18" customHeight="1">
      <c r="B124" s="129" t="inlineStr">
        <is>
          <t>M5.2  Arithmetic mean and σ for activation energies</t>
        </is>
      </c>
    </row>
    <row r="125" ht="60" customHeight="1">
      <c r="B125" s="128" t="inlineStr">
        <is>
          <t>Activation energies (E_D, Q_p, H_s) are extensive quantities measured in J/mol. Their uncertainty is additive — a ±10 kJ/mol error has the same physical meaning at any value. Arithmetic mean and standard deviation are therefore used.
mean(x) = (1/n) × Σxᵢ
std(x)  = √[ (1/(n−1)) × Σ(xᵢ − mean)² ]    [ddof=1]
Sensitivity range = [mean − σ, mean + σ]</t>
        </is>
      </c>
    </row>
    <row r="126" ht="18" customHeight="1">
      <c r="B126" s="129" t="inlineStr">
        <is>
          <t>M5.3  Which entries contribute to which parameter</t>
        </is>
      </c>
    </row>
    <row r="127" ht="30" customHeight="1">
      <c r="B127" s="38" t="inlineStr">
        <is>
          <t>Parameter</t>
        </is>
      </c>
      <c r="C127" s="38" t="inlineStr">
        <is>
          <t>Entries used</t>
        </is>
      </c>
      <c r="D127" s="38" t="inlineStr">
        <is>
          <t>Tier filter</t>
        </is>
      </c>
      <c r="E127" s="38" t="inlineStr">
        <is>
          <t>Hastelloy N included?</t>
        </is>
      </c>
      <c r="F127" s="38" t="inlineStr">
        <is>
          <t>n</t>
        </is>
      </c>
      <c r="G127" s="38" t="inlineStr">
        <is>
          <t>Rationale</t>
        </is>
      </c>
    </row>
    <row r="128" ht="20" customHeight="1">
      <c r="B128" s="19" t="inlineStr">
        <is>
          <t>Phi(800K) — all Ni-base</t>
        </is>
      </c>
      <c r="C128" s="19" t="inlineStr">
        <is>
          <t>All tiers with evaluable Phi</t>
        </is>
      </c>
      <c r="D128" s="19" t="inlineStr">
        <is>
          <t>A + B + C</t>
        </is>
      </c>
      <c r="E128" s="19" t="inlineStr">
        <is>
          <t>Yes (3 entries)</t>
        </is>
      </c>
      <c r="F128" s="19" t="inlineStr">
        <is>
          <t>28</t>
        </is>
      </c>
      <c r="G128" s="19" t="inlineStr">
        <is>
          <t>Maximum available data for permeability default</t>
        </is>
      </c>
    </row>
    <row r="129" ht="20" customHeight="1">
      <c r="B129" s="15" t="inlineStr">
        <is>
          <t>Q_p</t>
        </is>
      </c>
      <c r="C129" s="15" t="inlineStr">
        <is>
          <t>All entries with Q_p present</t>
        </is>
      </c>
      <c r="D129" s="15" t="inlineStr">
        <is>
          <t>A + B</t>
        </is>
      </c>
      <c r="E129" s="15" t="inlineStr">
        <is>
          <t>Yes (Q_p=77948 J/mol, Rohrig 1975)</t>
        </is>
      </c>
      <c r="F129" s="15" t="inlineStr">
        <is>
          <t>27</t>
        </is>
      </c>
      <c r="G129" s="15" t="inlineStr">
        <is>
          <t>Q_p available without needing separated D+Ks</t>
        </is>
      </c>
    </row>
    <row r="130" ht="20" customHeight="1">
      <c r="B130" s="19" t="inlineStr">
        <is>
          <t>D_ref (800K)</t>
        </is>
      </c>
      <c r="C130" s="19" t="inlineStr">
        <is>
          <t>Tier A only</t>
        </is>
      </c>
      <c r="D130" s="19" t="inlineStr">
        <is>
          <t>A only</t>
        </is>
      </c>
      <c r="E130" s="19" t="inlineStr">
        <is>
          <t>No — no D data for Has-N</t>
        </is>
      </c>
      <c r="F130" s="19" t="inlineStr">
        <is>
          <t>10</t>
        </is>
      </c>
      <c r="G130" s="19" t="inlineStr">
        <is>
          <t>D requires E_D and D_ref both present; only Tier A has these</t>
        </is>
      </c>
    </row>
    <row r="131" ht="20" customHeight="1">
      <c r="B131" s="15" t="inlineStr">
        <is>
          <t>E_D</t>
        </is>
      </c>
      <c r="C131" s="15" t="inlineStr">
        <is>
          <t>Tier A only</t>
        </is>
      </c>
      <c r="D131" s="15" t="inlineStr">
        <is>
          <t>A only</t>
        </is>
      </c>
      <c r="E131" s="15" t="inlineStr">
        <is>
          <t>No — no E_D for Has-N</t>
        </is>
      </c>
      <c r="F131" s="15" t="inlineStr">
        <is>
          <t>10</t>
        </is>
      </c>
      <c r="G131" s="15" t="inlineStr">
        <is>
          <t>Same constraint as D_ref</t>
        </is>
      </c>
    </row>
    <row r="132" ht="20" customHeight="1">
      <c r="B132" s="19" t="inlineStr">
        <is>
          <t>Ks_ref (800K)</t>
        </is>
      </c>
      <c r="C132" s="19" t="inlineStr">
        <is>
          <t>Tier A only</t>
        </is>
      </c>
      <c r="D132" s="19" t="inlineStr">
        <is>
          <t>A only</t>
        </is>
      </c>
      <c r="E132" s="19" t="inlineStr">
        <is>
          <t>No — no Ks data for Has-N</t>
        </is>
      </c>
      <c r="F132" s="19" t="inlineStr">
        <is>
          <t>10</t>
        </is>
      </c>
      <c r="G132" s="19" t="inlineStr">
        <is>
          <t>Ks requires H_s and Ks_ref both present</t>
        </is>
      </c>
    </row>
    <row r="133" ht="20" customHeight="1">
      <c r="B133" s="15" t="inlineStr">
        <is>
          <t>H_s</t>
        </is>
      </c>
      <c r="C133" s="15" t="inlineStr">
        <is>
          <t>Tier A only</t>
        </is>
      </c>
      <c r="D133" s="15" t="inlineStr">
        <is>
          <t>A only</t>
        </is>
      </c>
      <c r="E133" s="15" t="inlineStr">
        <is>
          <t>No — no H_s for Has-N</t>
        </is>
      </c>
      <c r="F133" s="15" t="inlineStr">
        <is>
          <t>10</t>
        </is>
      </c>
      <c r="G133" s="15" t="inlineStr">
        <is>
          <t>Same constraint as Ks_ref</t>
        </is>
      </c>
    </row>
    <row r="134" ht="8" customHeight="1"/>
    <row r="135" ht="20" customHeight="1">
      <c r="B135" s="144" t="inlineStr">
        <is>
          <t>M6.  The Hastelloy N Data Gap — Scientific Implications</t>
        </is>
      </c>
    </row>
    <row r="136" ht="60" customHeight="1">
      <c r="B136" s="145" t="inlineStr">
        <is>
          <t>Hastelloy N is the primary material of interest for this model. However, it has no measured diffusivity (D) or solubility (Ks) values anywhere in the literature database — only composite permeability (Phi = D × Ks) from Rohrig 1975 and a single-temperature point from Strehlow 1974. This means the D_ref, E_D, Ks_ref, and H_s defaults in Section 1 are drawn from chemical analogs (NiCr alloys from Schmidt 1985), not from direct Hastelloy N measurements.</t>
        </is>
      </c>
    </row>
    <row r="137" ht="30" customHeight="1">
      <c r="B137" s="88" t="inlineStr">
        <is>
          <t>Parameter</t>
        </is>
      </c>
      <c r="C137" s="88" t="inlineStr">
        <is>
          <t>Hastelloy N data?</t>
        </is>
      </c>
      <c r="D137" s="88" t="inlineStr">
        <is>
          <t>Data source used</t>
        </is>
      </c>
      <c r="E137" s="88" t="inlineStr">
        <is>
          <t>Quality flag</t>
        </is>
      </c>
      <c r="F137" s="88" t="inlineStr">
        <is>
          <t>Recommended action</t>
        </is>
      </c>
    </row>
    <row r="138" ht="28" customHeight="1">
      <c r="B138" s="132" t="inlineStr">
        <is>
          <t>Phi_ref (800K)</t>
        </is>
      </c>
      <c r="C138" s="132" t="inlineStr">
        <is>
          <t>YES — 3 entries</t>
        </is>
      </c>
      <c r="D138" s="132" t="inlineStr">
        <is>
          <t>Rohrig 1975 (full Arrhenius) + Strehlow 1974</t>
        </is>
      </c>
      <c r="E138" s="132" t="inlineStr">
        <is>
          <t>Direct measurement ✓</t>
        </is>
      </c>
      <c r="F138" s="132" t="inlineStr">
        <is>
          <t>Use Hastelloy N specific value (4.35e-11) — not the full Ni-base mean</t>
        </is>
      </c>
    </row>
    <row r="139" ht="28" customHeight="1">
      <c r="B139" s="132" t="inlineStr">
        <is>
          <t>Q_p</t>
        </is>
      </c>
      <c r="C139" s="132" t="inlineStr">
        <is>
          <t>YES — 2 entries (Rohrig 1975 v1 and v2, both Q_p=77948)</t>
        </is>
      </c>
      <c r="D139" s="132" t="inlineStr">
        <is>
          <t>Rohrig 1975 directly</t>
        </is>
      </c>
      <c r="E139" s="132" t="inlineStr">
        <is>
          <t>Direct measurement ✓</t>
        </is>
      </c>
      <c r="F139" s="132" t="inlineStr">
        <is>
          <t>Use Q_p = 77 948 J/mol from Rohrig 1975 as Has-N specific value</t>
        </is>
      </c>
    </row>
    <row r="140" ht="28" customHeight="1">
      <c r="B140" s="134" t="inlineStr">
        <is>
          <t>D_ref (800K)</t>
        </is>
      </c>
      <c r="C140" s="134" t="inlineStr">
        <is>
          <t>NO</t>
        </is>
      </c>
      <c r="D140" s="134" t="inlineStr">
        <is>
          <t>10 NiCr analogs, Schmidt 1985</t>
        </is>
      </c>
      <c r="E140" s="134" t="inlineStr">
        <is>
          <t>Chemical analog ⚠</t>
        </is>
      </c>
      <c r="F140" s="134" t="inlineStr">
        <is>
          <t>Document as analog estimate in methods; run sensitivity over full ±1 GSD range</t>
        </is>
      </c>
    </row>
    <row r="141" ht="28" customHeight="1">
      <c r="B141" s="134" t="inlineStr">
        <is>
          <t>E_D</t>
        </is>
      </c>
      <c r="C141" s="134" t="inlineStr">
        <is>
          <t>NO</t>
        </is>
      </c>
      <c r="D141" s="134" t="inlineStr">
        <is>
          <t>10 NiCr analogs, Schmidt 1985</t>
        </is>
      </c>
      <c r="E141" s="134" t="inlineStr">
        <is>
          <t>Chemical analog ⚠</t>
        </is>
      </c>
      <c r="F141" s="134" t="inlineStr">
        <is>
          <t>Same as D_ref — E_D sensitivity range 32855–90385 J/mol</t>
        </is>
      </c>
    </row>
    <row r="142" ht="28" customHeight="1">
      <c r="B142" s="134" t="inlineStr">
        <is>
          <t>Ks_ref (800K)</t>
        </is>
      </c>
      <c r="C142" s="134" t="inlineStr">
        <is>
          <t>NO</t>
        </is>
      </c>
      <c r="D142" s="134" t="inlineStr">
        <is>
          <t>10 NiCr analogs, Schmidt 1985</t>
        </is>
      </c>
      <c r="E142" s="134" t="inlineStr">
        <is>
          <t>Chemical analog ⚠</t>
        </is>
      </c>
      <c r="F142" s="134" t="inlineStr">
        <is>
          <t>Document as analog estimate; check self-consistency: Phi = D × Ks at 800K</t>
        </is>
      </c>
    </row>
    <row r="143" ht="28" customHeight="1">
      <c r="B143" s="134" t="inlineStr">
        <is>
          <t>H_s</t>
        </is>
      </c>
      <c r="C143" s="134" t="inlineStr">
        <is>
          <t>NO</t>
        </is>
      </c>
      <c r="D143" s="134" t="inlineStr">
        <is>
          <t>10 NiCr analogs, Schmidt 1985</t>
        </is>
      </c>
      <c r="E143" s="134" t="inlineStr">
        <is>
          <t>Chemical analog ⚠</t>
        </is>
      </c>
      <c r="F143" s="134" t="inlineStr">
        <is>
          <t>E_D + H_s should equal Q_p_Has-N (77948). Chosen values must satisfy this.</t>
        </is>
      </c>
    </row>
    <row r="144" ht="60" customHeight="1">
      <c r="B144" s="145" t="inlineStr">
        <is>
          <t>Self-consistency requirement: If you use D_ref and Ks_ref from NiCr analogs alongside Q_p = 77 948 J/mol from Rohrig 1975 Hastelloy N, you must verify that E_D + H_s ≈ Q_p_Has-N. If the analog-derived E_D + H_s ≠ 77 948, you have an inconsistent parameter set. The recommended resolution is to fix Q_p to the Hastelloy N value (77 948 J/mol) and adjust H_s = Q_p − E_D using the analog E_D, so that the parameter set is internally consistent even though the individual D/Ks split comes from analogs. Report this constraint explicitly in your thesis.</t>
        </is>
      </c>
    </row>
    <row r="145" ht="8" customHeight="1"/>
    <row r="146" ht="20" customHeight="1">
      <c r="B146" s="125" t="inlineStr">
        <is>
          <t>M7.  Analysis Pipeline — Step-by-Step Summary</t>
        </is>
      </c>
    </row>
    <row r="147" ht="30" customHeight="1">
      <c r="B147" s="146" t="inlineStr">
        <is>
          <t>Step</t>
        </is>
      </c>
      <c r="C147" s="146" t="inlineStr">
        <is>
          <t>Action</t>
        </is>
      </c>
      <c r="D147" s="146" t="inlineStr">
        <is>
          <t>Detail</t>
        </is>
      </c>
    </row>
    <row r="148" ht="30" customHeight="1">
      <c r="B148" s="19" t="inlineStr">
        <is>
          <t>Step 1</t>
        </is>
      </c>
      <c r="C148" s="19" t="inlineStr">
        <is>
          <t>Load source data</t>
        </is>
      </c>
      <c r="D148" s="19" t="inlineStr">
        <is>
          <t>Read literature_permeation_data.csv (76 entries). All original gas values (H₂, D₂, T₂).</t>
        </is>
      </c>
    </row>
    <row r="149" ht="30" customHeight="1">
      <c r="B149" s="15" t="inlineStr">
        <is>
          <t>Step 2</t>
        </is>
      </c>
      <c r="C149" s="15" t="inlineStr">
        <is>
          <t>Apply H₂ isotope scaling</t>
        </is>
      </c>
      <c r="D149" s="15" t="inlineStr">
        <is>
          <t>Multiply D_ref, D_0, Phi_ref, Phi_0 by √2 (D₂) or √3 (T₂). Leave E_D, Q_p, H_s, Ks unchanged. Produces H₂-equivalent parameter set.</t>
        </is>
      </c>
    </row>
    <row r="150" ht="30" customHeight="1">
      <c r="B150" s="19" t="inlineStr">
        <is>
          <t>Step 3</t>
        </is>
      </c>
      <c r="C150" s="19" t="inlineStr">
        <is>
          <t>Classify entries</t>
        </is>
      </c>
      <c r="D150" s="19" t="inlineStr">
        <is>
          <t>Apply key-substring rules to assign each entry to: Ni-base (included), Incoloy 800 (separate), or other (excluded). Result: 29 Ni-base entries.</t>
        </is>
      </c>
    </row>
    <row r="151" ht="30" customHeight="1">
      <c r="B151" s="15" t="inlineStr">
        <is>
          <t>Step 4</t>
        </is>
      </c>
      <c r="C151" s="15" t="inlineStr">
        <is>
          <t>Assign data quality tier</t>
        </is>
      </c>
      <c r="D151" s="15" t="inlineStr">
        <is>
          <t>Check presence of: D_ref+E_D+D_0 (Tier A), Phi_ref+Q_p+Phi_0 (Tier B), Phi_ref only (Tier C), nothing evaluable (Tier X). Result: 10A, 15B, 3C, 1X.</t>
        </is>
      </c>
    </row>
    <row r="152" ht="30" customHeight="1">
      <c r="B152" s="19" t="inlineStr">
        <is>
          <t>Step 5</t>
        </is>
      </c>
      <c r="C152" s="19" t="inlineStr">
        <is>
          <t>Evaluate at T = 800 K</t>
        </is>
      </c>
      <c r="D152" s="19" t="inlineStr">
        <is>
          <t>For each entry: compute Phi(800K) via Arrhenius if Q_p available; compute D(800K) and Ks(800K) if E_D/H_s available; use Phi_ref directly only for Tier C within ±100 K of 800 K.</t>
        </is>
      </c>
    </row>
    <row r="153" ht="30" customHeight="1">
      <c r="B153" s="15" t="inlineStr">
        <is>
          <t>Step 6</t>
        </is>
      </c>
      <c r="C153" s="15" t="inlineStr">
        <is>
          <t>Compute statistics</t>
        </is>
      </c>
      <c r="D153" s="15" t="inlineStr">
        <is>
          <t>Magnitude params (Phi, D, Ks): geometric mean + GSD using all applicable entries. Activation energies (E_D, Q_p, H_s): arithmetic mean + σ. Tier A only for D/Ks/E_D/H_s; tiers A+B+C for Phi; tiers A+B for Q_p.</t>
        </is>
      </c>
    </row>
    <row r="154" ht="30" customHeight="1">
      <c r="B154" s="19" t="inlineStr">
        <is>
          <t>Step 7</t>
        </is>
      </c>
      <c r="C154" s="19" t="inlineStr">
        <is>
          <t>Assign sensitivity ranges</t>
        </is>
      </c>
      <c r="D154" s="19" t="inlineStr">
        <is>
          <t>±1 GSD for magnitude params (geometric); ±1σ for activation energies (arithmetic). Full data range also recorded for reference.</t>
        </is>
      </c>
    </row>
    <row r="155" ht="30" customHeight="1">
      <c r="B155" s="15" t="inlineStr">
        <is>
          <t>Step 8</t>
        </is>
      </c>
      <c r="C155" s="15" t="inlineStr">
        <is>
          <t>Flag Hastelloy N gap</t>
        </is>
      </c>
      <c r="D155" s="15" t="inlineStr">
        <is>
          <t>Note that D and Ks defaults have no Has-N data. Check E_D + H_s = Q_p self-consistency for any chosen parameter set.</t>
        </is>
      </c>
    </row>
    <row r="156" ht="30" customHeight="1">
      <c r="B156" s="19" t="inlineStr">
        <is>
          <t>Step 9</t>
        </is>
      </c>
      <c r="C156" s="19" t="inlineStr">
        <is>
          <t>Compile subgroup table</t>
        </is>
      </c>
      <c r="D156" s="19" t="inlineStr">
        <is>
          <t>Group entries by material family and compute Phi(800K) statistics per subgroup.</t>
        </is>
      </c>
    </row>
    <row r="157" ht="30" customHeight="1">
      <c r="B157" s="15" t="inlineStr">
        <is>
          <t>Step 10</t>
        </is>
      </c>
      <c r="C157" s="15" t="inlineStr">
        <is>
          <t>Write to Excel</t>
        </is>
      </c>
      <c r="D157" s="15" t="inlineStr">
        <is>
          <t>Output Sections 1–4 of this sheet plus this methodology block (Section M). All source data remain in Metals_Bulk and Metals_Bulk_H2 sheets unchanged.</t>
        </is>
      </c>
    </row>
    <row r="158" ht="12" customHeight="1"/>
    <row r="159" ht="16" customHeight="1">
      <c r="B159" s="147" t="inlineStr">
        <is>
          <t>End of methodology documentation.</t>
        </is>
      </c>
    </row>
  </sheetData>
  <mergeCells count="34">
    <mergeCell ref="B2:M2"/>
    <mergeCell ref="B111:M111"/>
    <mergeCell ref="B136:M136"/>
    <mergeCell ref="B14:M14"/>
    <mergeCell ref="B119:M119"/>
    <mergeCell ref="B1:M1"/>
    <mergeCell ref="B73:M73"/>
    <mergeCell ref="B103:M103"/>
    <mergeCell ref="B78:M78"/>
    <mergeCell ref="B112:M112"/>
    <mergeCell ref="B146:M146"/>
    <mergeCell ref="B95:M95"/>
    <mergeCell ref="B124:M124"/>
    <mergeCell ref="B80:M80"/>
    <mergeCell ref="B76:M76"/>
    <mergeCell ref="B123:M123"/>
    <mergeCell ref="B110:M110"/>
    <mergeCell ref="B79:M79"/>
    <mergeCell ref="B135:M135"/>
    <mergeCell ref="B4:M4"/>
    <mergeCell ref="B126:M126"/>
    <mergeCell ref="B75:M75"/>
    <mergeCell ref="B144:M144"/>
    <mergeCell ref="B81:M81"/>
    <mergeCell ref="B125:M125"/>
    <mergeCell ref="B72:M72"/>
    <mergeCell ref="B121:M121"/>
    <mergeCell ref="B122:M122"/>
    <mergeCell ref="B159:M159"/>
    <mergeCell ref="B39:M39"/>
    <mergeCell ref="B27:M27"/>
    <mergeCell ref="B96:M96"/>
    <mergeCell ref="B102:M102"/>
    <mergeCell ref="B77:M7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I75"/>
  <sheetViews>
    <sheetView showGridLines="0" workbookViewId="0">
      <selection activeCell="A1" sqref="A1"/>
    </sheetView>
  </sheetViews>
  <sheetFormatPr baseColWidth="8" defaultRowHeight="15"/>
  <cols>
    <col width="3" customWidth="1" min="1" max="1"/>
    <col width="30" customWidth="1" min="2" max="2"/>
    <col width="20" customWidth="1" min="3" max="3"/>
    <col width="20" customWidth="1" min="4" max="4"/>
    <col width="20" customWidth="1" min="5" max="5"/>
    <col width="20" customWidth="1" min="6" max="6"/>
    <col width="20" customWidth="1" min="7" max="7"/>
    <col width="20" customWidth="1" min="8" max="8"/>
    <col width="30" customWidth="1" min="9" max="9"/>
  </cols>
  <sheetData>
    <row r="1" ht="26" customHeight="1">
      <c r="B1" s="157" t="inlineStr">
        <is>
          <t>Chen et al. 2011 — Raw Data Extraction</t>
        </is>
      </c>
    </row>
    <row r="2" ht="28" customHeight="1">
      <c r="B2" s="156" t="inlineStr">
        <is>
          <t>Chen CF, Yu HB, Zheng SQ. "First-principles study of hydrogen diffusion mechanism in Cr2O3." Sci. China Tech. Sci. 54(1), 88–94 (2011). DOI: 10.1007/s11431-010-4112-3  |  All data extracted exactly as reported in the paper. No calculations performed.</t>
        </is>
      </c>
    </row>
    <row r="3" ht="8" customHeight="1"/>
    <row r="4" ht="18" customHeight="1">
      <c r="B4" s="158" t="inlineStr">
        <is>
          <t>TABLE 1 — Crystal Lattice Constants of Cr₂O₃ Cell</t>
        </is>
      </c>
    </row>
    <row r="5" ht="22" customHeight="1">
      <c r="B5" s="159" t="inlineStr">
        <is>
          <t>Space group: R-3C (trigonal).  Cell: 12 Cr atoms + 18 O atoms.  α = β = 90°, γ = 120°.  Reference for experimental values: Belokoneva &amp; Shcherbakova 2003 [Ref 14].</t>
        </is>
      </c>
    </row>
    <row r="6" ht="30" customHeight="1">
      <c r="B6" s="28" t="inlineStr">
        <is>
          <t>Parameter</t>
        </is>
      </c>
      <c r="C6" s="28" t="inlineStr">
        <is>
          <t>Calculated value</t>
        </is>
      </c>
      <c r="D6" s="28" t="inlineStr">
        <is>
          <t>Experimental value [Ref 14]</t>
        </is>
      </c>
      <c r="E6" s="28" t="inlineStr">
        <is>
          <t>Error (%)</t>
        </is>
      </c>
    </row>
    <row r="7" ht="16" customHeight="1">
      <c r="B7" s="160" t="inlineStr">
        <is>
          <t>a = b (Å)</t>
        </is>
      </c>
      <c r="C7" s="161" t="n">
        <v>4.9598</v>
      </c>
      <c r="D7" s="161" t="n">
        <v>4.953</v>
      </c>
      <c r="E7" s="161" t="n">
        <v>0.14</v>
      </c>
    </row>
    <row r="8" ht="16" customHeight="1">
      <c r="B8" s="162" t="inlineStr">
        <is>
          <t>c (Å)</t>
        </is>
      </c>
      <c r="C8" s="163" t="n">
        <v>13.5894</v>
      </c>
      <c r="D8" s="163" t="n">
        <v>13.578</v>
      </c>
      <c r="E8" s="163" t="n">
        <v>0.08</v>
      </c>
    </row>
    <row r="9" ht="8" customHeight="1"/>
    <row r="10" ht="18" customHeight="1">
      <c r="B10" s="158" t="inlineStr">
        <is>
          <t>TABLE 2 — O Atomic Distance in Upside End-Face at Different H Positions</t>
        </is>
      </c>
    </row>
    <row r="11" ht="26" customHeight="1">
      <c r="B11" s="159" t="inlineStr">
        <is>
          <t>H positions: α = center of octahedral interstice (fraction coord 0.33);  β = lowest energy (stable) position;  γ = position at fraction coordinate 0.26.  Values show distortion increases as H moves from center toward end-face.</t>
        </is>
      </c>
    </row>
    <row r="12" ht="30" customHeight="1">
      <c r="B12" s="28" t="inlineStr">
        <is>
          <t>H atom position</t>
        </is>
      </c>
      <c r="C12" s="28" t="inlineStr">
        <is>
          <t>Fraction coordinate</t>
        </is>
      </c>
      <c r="D12" s="28" t="inlineStr">
        <is>
          <t>O atomic distance (Å)</t>
        </is>
      </c>
      <c r="E12" s="28" t="inlineStr">
        <is>
          <t>Increment vs pure Cr₂O₃ (Å)</t>
        </is>
      </c>
    </row>
    <row r="13" ht="16" customHeight="1">
      <c r="B13" s="160" t="inlineStr">
        <is>
          <t>Pure Cr₂O₃</t>
        </is>
      </c>
      <c r="C13" s="160" t="inlineStr">
        <is>
          <t>—</t>
        </is>
      </c>
      <c r="D13" s="161" t="n">
        <v>2.983</v>
      </c>
      <c r="E13" s="160" t="inlineStr">
        <is>
          <t>—</t>
        </is>
      </c>
    </row>
    <row r="14" ht="16" customHeight="1">
      <c r="B14" s="162" t="inlineStr">
        <is>
          <t>α (center)</t>
        </is>
      </c>
      <c r="C14" s="162" t="inlineStr">
        <is>
          <t>0.33</t>
        </is>
      </c>
      <c r="D14" s="163" t="n">
        <v>3.018</v>
      </c>
      <c r="E14" s="162" t="inlineStr">
        <is>
          <t>+0.035</t>
        </is>
      </c>
    </row>
    <row r="15" ht="16" customHeight="1">
      <c r="B15" s="160" t="inlineStr">
        <is>
          <t>β (stable)</t>
        </is>
      </c>
      <c r="C15" s="160" t="inlineStr">
        <is>
          <t>0.279 and 0.381</t>
        </is>
      </c>
      <c r="D15" s="161" t="n">
        <v>3.05</v>
      </c>
      <c r="E15" s="160" t="inlineStr">
        <is>
          <t>+0.067</t>
        </is>
      </c>
    </row>
    <row r="16" ht="16" customHeight="1">
      <c r="B16" s="162" t="inlineStr">
        <is>
          <t>γ</t>
        </is>
      </c>
      <c r="C16" s="162" t="inlineStr">
        <is>
          <t>0.26</t>
        </is>
      </c>
      <c r="D16" s="163" t="n">
        <v>3.066</v>
      </c>
      <c r="E16" s="162" t="inlineStr">
        <is>
          <t>+0.083</t>
        </is>
      </c>
    </row>
    <row r="17" ht="26" customHeight="1">
      <c r="B17" s="159" t="inlineStr">
        <is>
          <t>Additional positional data from paper body text:  Two stable H positions at fraction coordinates 0.279 and 0.381 (symmetric about center at 0.33).  End-face positions: upside at 0.25, downside at 0.41.</t>
        </is>
      </c>
    </row>
    <row r="18" ht="8" customHeight="1"/>
    <row r="19" ht="18" customHeight="1">
      <c r="B19" s="158" t="inlineStr">
        <is>
          <t>TABLE 3 — Diffusion Coefficient of H Atom (cm²/s) — as reported in paper</t>
        </is>
      </c>
    </row>
    <row r="20" ht="40" customHeight="1">
      <c r="B20" s="164" t="inlineStr">
        <is>
          <t>Units: cm²/s exactly as printed in Table 3 of paper.  Conversion to m²/s: multiply by 1×10⁻⁴.  Sources for comparison materials: 16MnR/20G/Q235 from Ref 32 (Zhao et al. 2005);  HR-1 from Ref 33 (Deng et al. 1992);  α-Al₂O₃ from Ref 13 (Belonoshko 2004);  Cr₂O₃ = this study.  FLAG: value 4.17e-6 for 20G at 1000°C is likely a typo in original paper (expected order ~10⁻³).</t>
        </is>
      </c>
    </row>
    <row r="21" ht="30" customHeight="1">
      <c r="B21" s="28" t="inlineStr">
        <is>
          <t>Temperature (°C)</t>
        </is>
      </c>
      <c r="C21" s="28" t="inlineStr">
        <is>
          <t>Temperature (K)</t>
        </is>
      </c>
      <c r="D21" s="28" t="inlineStr">
        <is>
          <t>16MnR steel (cm²/s) [Ref 32]</t>
        </is>
      </c>
      <c r="E21" s="28" t="inlineStr">
        <is>
          <t>20G steel (cm²/s) [Ref 32]</t>
        </is>
      </c>
      <c r="F21" s="28" t="inlineStr">
        <is>
          <t>Q235 steel (cm²/s) [Ref 32]</t>
        </is>
      </c>
      <c r="G21" s="28" t="inlineStr">
        <is>
          <t>HR-1 SS (cm²/s) [Ref 33]</t>
        </is>
      </c>
      <c r="H21" s="28" t="inlineStr">
        <is>
          <t>α-Al₂O₃ (cm²/s) [Ref 13]</t>
        </is>
      </c>
      <c r="I21" s="28" t="inlineStr">
        <is>
          <t>Cr₂O₃ — THIS STUDY (cm²/s)</t>
        </is>
      </c>
    </row>
    <row r="22" ht="16" customHeight="1">
      <c r="B22" s="165" t="n">
        <v>0</v>
      </c>
      <c r="C22" s="161" t="n">
        <v>273.15</v>
      </c>
      <c r="D22" s="166" t="n">
        <v>2.11e-06</v>
      </c>
      <c r="E22" s="166" t="n">
        <v>6.49e-06</v>
      </c>
      <c r="F22" s="166" t="n">
        <v>3.75e-07</v>
      </c>
      <c r="G22" s="166" t="n">
        <v>6.76e-13</v>
      </c>
      <c r="H22" s="166" t="n">
        <v>3.04e-26</v>
      </c>
      <c r="I22" s="166" t="n">
        <v>2.34e-18</v>
      </c>
    </row>
    <row r="23" ht="16" customHeight="1">
      <c r="B23" s="167" t="n">
        <v>100</v>
      </c>
      <c r="C23" s="163" t="n">
        <v>373.15</v>
      </c>
      <c r="D23" s="168" t="n">
        <v>2.89e-05</v>
      </c>
      <c r="E23" s="168" t="n">
        <v>5.89e-05</v>
      </c>
      <c r="F23" s="168" t="n">
        <v>9.850000000000001e-06</v>
      </c>
      <c r="G23" s="168" t="n">
        <v>4.03e-10</v>
      </c>
      <c r="H23" s="168" t="n">
        <v>4.08e-20</v>
      </c>
      <c r="I23" s="168" t="n">
        <v>6.65e-15</v>
      </c>
    </row>
    <row r="24" ht="16" customHeight="1">
      <c r="B24" s="165" t="n">
        <v>200</v>
      </c>
      <c r="C24" s="161" t="n">
        <v>473.15</v>
      </c>
      <c r="D24" s="166" t="n">
        <v>0.000131</v>
      </c>
      <c r="E24" s="166" t="n">
        <v>0.00021</v>
      </c>
      <c r="F24" s="166" t="n">
        <v>6.490000000000001e-05</v>
      </c>
      <c r="G24" s="166" t="n">
        <v>1.61e-08</v>
      </c>
      <c r="H24" s="166" t="n">
        <v>1.4e-16</v>
      </c>
      <c r="I24" s="166" t="n">
        <v>6.55e-13</v>
      </c>
    </row>
    <row r="25" ht="16" customHeight="1">
      <c r="B25" s="167" t="n">
        <v>500</v>
      </c>
      <c r="C25" s="163" t="n">
        <v>773.15</v>
      </c>
      <c r="D25" s="163" t="n">
        <v>0.00117</v>
      </c>
      <c r="E25" s="163" t="n">
        <v>0.00133</v>
      </c>
      <c r="F25" s="168" t="n">
        <v>0.0009940000000000001</v>
      </c>
      <c r="G25" s="168" t="n">
        <v>3.36e-06</v>
      </c>
      <c r="H25" s="168" t="n">
        <v>1.84e-11</v>
      </c>
      <c r="I25" s="168" t="n">
        <v>5.03e-10</v>
      </c>
    </row>
    <row r="26" ht="16" customHeight="1">
      <c r="B26" s="165" t="n">
        <v>1000</v>
      </c>
      <c r="C26" s="161" t="n">
        <v>1273.15</v>
      </c>
      <c r="D26" s="161" t="n">
        <v>0.00454</v>
      </c>
      <c r="E26" s="166" t="n">
        <v>4.17e-06</v>
      </c>
      <c r="F26" s="166" t="n">
        <v>5.39e-06</v>
      </c>
      <c r="G26" s="166" t="n">
        <v>9.16e-05</v>
      </c>
      <c r="H26" s="166" t="n">
        <v>2.73e-08</v>
      </c>
      <c r="I26" s="166" t="n">
        <v>3.08e-08</v>
      </c>
    </row>
    <row r="27" ht="8" customHeight="1"/>
    <row r="28" ht="18" customHeight="1">
      <c r="B28" s="158" t="inlineStr">
        <is>
          <t>FIGURE 5 — Transition State Activation Energies</t>
        </is>
      </c>
    </row>
    <row r="29" ht="22" customHeight="1">
      <c r="B29" s="159" t="inlineStr">
        <is>
          <t>Two-step diffusion process A→B→C between nearest-neighbour unoccupied O octahedral interstices.  Values read from Figure 5 of paper.</t>
        </is>
      </c>
    </row>
    <row r="30" ht="30" customHeight="1">
      <c r="B30" s="28" t="inlineStr">
        <is>
          <t>Diffusion step</t>
        </is>
      </c>
      <c r="C30" s="28" t="inlineStr">
        <is>
          <t>Description</t>
        </is>
      </c>
      <c r="D30" s="28" t="inlineStr">
        <is>
          <t>Ea (eV)</t>
        </is>
      </c>
      <c r="E30" s="28" t="inlineStr">
        <is>
          <t>Transition state location</t>
        </is>
      </c>
      <c r="F30" s="28" t="inlineStr">
        <is>
          <t>Rate-limiting?</t>
        </is>
      </c>
    </row>
    <row r="31" ht="16" customHeight="1">
      <c r="B31" s="169" t="inlineStr">
        <is>
          <t>A → B</t>
        </is>
      </c>
      <c r="C31" s="170" t="inlineStr">
        <is>
          <t>H moves from one octahedral interstice to nearest-neighbour interstice</t>
        </is>
      </c>
      <c r="D31" s="171" t="n">
        <v>0.73</v>
      </c>
      <c r="E31" s="170" t="inlineStr">
        <is>
          <t>H at O atomic plane between neighbour interstices (atoms D, E, F)</t>
        </is>
      </c>
      <c r="F31" s="169" t="inlineStr">
        <is>
          <t>YES — rate-limiting step</t>
        </is>
      </c>
    </row>
    <row r="32" ht="16" customHeight="1">
      <c r="B32" s="162" t="inlineStr">
        <is>
          <t>B → C</t>
        </is>
      </c>
      <c r="C32" s="172" t="inlineStr">
        <is>
          <t>H moves between two stable positions within the same interstice</t>
        </is>
      </c>
      <c r="D32" s="163" t="n">
        <v>0.68</v>
      </c>
      <c r="E32" s="172" t="inlineStr">
        <is>
          <t>H at center of octahedral interstice</t>
        </is>
      </c>
      <c r="F32" s="162" t="inlineStr">
        <is>
          <t>No</t>
        </is>
      </c>
    </row>
    <row r="33" ht="16" customHeight="1">
      <c r="B33" s="173" t="inlineStr">
        <is>
          <t>Overall A → C</t>
        </is>
      </c>
      <c r="C33" s="174" t="inlineStr">
        <is>
          <t>Full transition period across two interstices</t>
        </is>
      </c>
      <c r="D33" s="175" t="n">
        <v>0.73</v>
      </c>
      <c r="E33" s="173" t="inlineStr">
        <is>
          <t>Governed by A→B step</t>
        </is>
      </c>
      <c r="F33" s="174" t="inlineStr">
        <is>
          <t>YES — Ea = 0.73 eV used in Arrhenius formula</t>
        </is>
      </c>
    </row>
    <row r="34" ht="8" customHeight="1"/>
    <row r="35" ht="18" customHeight="1">
      <c r="B35" s="158" t="inlineStr">
        <is>
          <t>MOLECULAR DYNAMICS PARAMETERS — Section 2.2 / 3.6</t>
        </is>
      </c>
    </row>
    <row r="36" ht="22" customHeight="1">
      <c r="B36" s="159" t="inlineStr">
        <is>
          <t>Used to calculate attempt frequency ν.  O and Cr atoms fixed; only H atom allowed to move.  Temperature 1400 K was chosen for MD (above operating range).</t>
        </is>
      </c>
    </row>
    <row r="37" ht="30" customHeight="1">
      <c r="B37" s="28" t="inlineStr">
        <is>
          <t>Parameter</t>
        </is>
      </c>
      <c r="C37" s="28" t="inlineStr">
        <is>
          <t>Value</t>
        </is>
      </c>
      <c r="D37" s="28" t="inlineStr">
        <is>
          <t>Units</t>
        </is>
      </c>
      <c r="E37" s="28" t="inlineStr">
        <is>
          <t>Notes</t>
        </is>
      </c>
    </row>
    <row r="38" ht="16" customHeight="1">
      <c r="B38" s="160" t="inlineStr">
        <is>
          <t>Ensemble</t>
        </is>
      </c>
      <c r="C38" s="160" t="inlineStr">
        <is>
          <t>NVT</t>
        </is>
      </c>
      <c r="D38" s="160" t="inlineStr">
        <is>
          <t>—</t>
        </is>
      </c>
      <c r="E38" s="160" t="inlineStr"/>
    </row>
    <row r="39" ht="16" customHeight="1">
      <c r="B39" s="162" t="inlineStr">
        <is>
          <t>MD temperature</t>
        </is>
      </c>
      <c r="C39" s="162" t="inlineStr">
        <is>
          <t>1400</t>
        </is>
      </c>
      <c r="D39" s="162" t="inlineStr">
        <is>
          <t>K</t>
        </is>
      </c>
      <c r="E39" s="172" t="inlineStr">
        <is>
          <t>Temperature at which ν was computed</t>
        </is>
      </c>
    </row>
    <row r="40" ht="16" customHeight="1">
      <c r="B40" s="160" t="inlineStr">
        <is>
          <t>Time step</t>
        </is>
      </c>
      <c r="C40" s="160" t="inlineStr">
        <is>
          <t>20</t>
        </is>
      </c>
      <c r="D40" s="160" t="inlineStr">
        <is>
          <t>fs</t>
        </is>
      </c>
      <c r="E40" s="160" t="inlineStr"/>
    </row>
    <row r="41" ht="16" customHeight="1">
      <c r="B41" s="162" t="inlineStr">
        <is>
          <t>Number of steps</t>
        </is>
      </c>
      <c r="C41" s="162" t="inlineStr">
        <is>
          <t>5000</t>
        </is>
      </c>
      <c r="D41" s="162" t="inlineStr">
        <is>
          <t>—</t>
        </is>
      </c>
      <c r="E41" s="162" t="inlineStr"/>
    </row>
    <row r="42" ht="16" customHeight="1">
      <c r="B42" s="160" t="inlineStr">
        <is>
          <t>Total simulation time</t>
        </is>
      </c>
      <c r="C42" s="160" t="inlineStr">
        <is>
          <t>100</t>
        </is>
      </c>
      <c r="D42" s="160" t="inlineStr">
        <is>
          <t>ps</t>
        </is>
      </c>
      <c r="E42" s="160" t="inlineStr">
        <is>
          <t>20 fs × 5000 steps</t>
        </is>
      </c>
    </row>
    <row r="43" ht="16" customHeight="1">
      <c r="B43" s="162" t="inlineStr">
        <is>
          <t>Constraint</t>
        </is>
      </c>
      <c r="C43" s="162" t="inlineStr">
        <is>
          <t>O and Cr fixed</t>
        </is>
      </c>
      <c r="D43" s="162" t="inlineStr">
        <is>
          <t>—</t>
        </is>
      </c>
      <c r="E43" s="162" t="inlineStr">
        <is>
          <t>Only H atom free to move</t>
        </is>
      </c>
    </row>
    <row r="44" ht="16" customHeight="1">
      <c r="B44" s="160" t="inlineStr">
        <is>
          <t>Attempt frequency ν</t>
        </is>
      </c>
      <c r="C44" s="160" t="inlineStr">
        <is>
          <t>3.74 × 10¹⁰</t>
        </is>
      </c>
      <c r="D44" s="160" t="inlineStr">
        <is>
          <t>s⁻¹</t>
        </is>
      </c>
      <c r="E44" s="176" t="inlineStr">
        <is>
          <t>Calculated from H vibration period</t>
        </is>
      </c>
    </row>
    <row r="45" ht="16" customHeight="1">
      <c r="B45" s="162" t="inlineStr">
        <is>
          <t>Jump distance l (A→C)</t>
        </is>
      </c>
      <c r="C45" s="162" t="inlineStr">
        <is>
          <t>3.63</t>
        </is>
      </c>
      <c r="D45" s="162" t="inlineStr">
        <is>
          <t>Å</t>
        </is>
      </c>
      <c r="E45" s="172" t="inlineStr">
        <is>
          <t>3.63 × 10⁻¹⁰ m; coordinate of H at start and end</t>
        </is>
      </c>
    </row>
    <row r="46" ht="16" customHeight="1">
      <c r="B46" s="160" t="inlineStr">
        <is>
          <t>Jump directions λ</t>
        </is>
      </c>
      <c r="C46" s="160" t="inlineStr">
        <is>
          <t>2</t>
        </is>
      </c>
      <c r="D46" s="160" t="inlineStr">
        <is>
          <t>—</t>
        </is>
      </c>
      <c r="E46" s="160" t="inlineStr">
        <is>
          <t>From eq. (3) in paper</t>
        </is>
      </c>
    </row>
    <row r="47" ht="16" customHeight="1">
      <c r="B47" s="162" t="inlineStr">
        <is>
          <t>Diffusion dimension z</t>
        </is>
      </c>
      <c r="C47" s="162" t="inlineStr">
        <is>
          <t>1</t>
        </is>
      </c>
      <c r="D47" s="162" t="inlineStr">
        <is>
          <t>—</t>
        </is>
      </c>
      <c r="E47" s="162" t="inlineStr">
        <is>
          <t>From eq. (3) in paper</t>
        </is>
      </c>
    </row>
    <row r="48" ht="8" customHeight="1"/>
    <row r="49" ht="18" customHeight="1">
      <c r="B49" s="158" t="inlineStr">
        <is>
          <t>ARRHENIUS DIFFUSION FORMULA — Section 3.6 and Conclusion</t>
        </is>
      </c>
    </row>
    <row r="50" ht="16" customHeight="1">
      <c r="B50" s="159" t="inlineStr">
        <is>
          <t>Two equivalent forms as printed in the paper.</t>
        </is>
      </c>
    </row>
    <row r="51" ht="30" customHeight="1">
      <c r="B51" s="28" t="inlineStr">
        <is>
          <t>Form</t>
        </is>
      </c>
      <c r="C51" s="28" t="inlineStr">
        <is>
          <t>Equation as stated in paper</t>
        </is>
      </c>
      <c r="D51" s="28" t="inlineStr">
        <is>
          <t>D_0</t>
        </is>
      </c>
      <c r="E51" s="28" t="inlineStr">
        <is>
          <t>D_0 units</t>
        </is>
      </c>
      <c r="F51" s="28" t="inlineStr">
        <is>
          <t>E_D (as stated)</t>
        </is>
      </c>
      <c r="G51" s="28" t="inlineStr">
        <is>
          <t>E_D units</t>
        </is>
      </c>
      <c r="H51" s="28" t="inlineStr">
        <is>
          <t>E_D in J/mol (converted)</t>
        </is>
      </c>
    </row>
    <row r="52" ht="16" customHeight="1">
      <c r="B52" s="160" t="inlineStr">
        <is>
          <t>Form 1 — SI</t>
        </is>
      </c>
      <c r="C52" s="176" t="inlineStr">
        <is>
          <t>D(T) = 1.78×10⁻⁹ × exp(−0.73/kT)</t>
        </is>
      </c>
      <c r="D52" s="160" t="inlineStr">
        <is>
          <t>1.78×10⁻⁹</t>
        </is>
      </c>
      <c r="E52" s="160" t="inlineStr">
        <is>
          <t>m²/s</t>
        </is>
      </c>
      <c r="F52" s="160" t="inlineStr">
        <is>
          <t>0.73</t>
        </is>
      </c>
      <c r="G52" s="160" t="inlineStr">
        <is>
          <t>eV (Boltzmann k)</t>
        </is>
      </c>
      <c r="H52" s="160" t="inlineStr">
        <is>
          <t>0.73 × 96485 = 70,434</t>
        </is>
      </c>
    </row>
    <row r="53" ht="16" customHeight="1">
      <c r="B53" s="162" t="inlineStr">
        <is>
          <t>Form 2 — cgs</t>
        </is>
      </c>
      <c r="C53" s="172" t="inlineStr">
        <is>
          <t>D(T) = 1.78×10⁻⁵ × exp(−70313.62/RT)</t>
        </is>
      </c>
      <c r="D53" s="162" t="inlineStr">
        <is>
          <t>1.78×10⁻⁵</t>
        </is>
      </c>
      <c r="E53" s="162" t="inlineStr">
        <is>
          <t>cm²/s</t>
        </is>
      </c>
      <c r="F53" s="162" t="inlineStr">
        <is>
          <t>70,313.62</t>
        </is>
      </c>
      <c r="G53" s="162" t="inlineStr">
        <is>
          <t>J/mol (gas constant R)</t>
        </is>
      </c>
      <c r="H53" s="162" t="inlineStr">
        <is>
          <t>70,313.62 (as stated in paper)</t>
        </is>
      </c>
    </row>
    <row r="54" ht="40" customHeight="1">
      <c r="B54" s="164" t="inlineStr">
        <is>
          <t>Note on E_D discrepancy: The paper states 70313.62 J/mol in the formula but reports 0.73 eV in the activation energy section. 0.73 eV × 96485 J/mol/eV = 70,434 J/mol. Difference = 120 J/mol (0.17%) — attributable to rounding in unit conversion within the paper. The database uses 70,434 J/mol (derived from 0.73 eV × 96485).</t>
        </is>
      </c>
    </row>
    <row r="55" ht="8" customHeight="1"/>
    <row r="56" ht="18" customHeight="1">
      <c r="B56" s="158" t="inlineStr">
        <is>
          <t>DENSITY OF STATES — Key Observations (Section 3.4, Figure 3)</t>
        </is>
      </c>
    </row>
    <row r="57" ht="20" customHeight="1">
      <c r="B57" s="159" t="inlineStr">
        <is>
          <t>Qualitative observations from Figure 3 of paper.  Nearest Cr and O atoms to H are used as reference.</t>
        </is>
      </c>
    </row>
    <row r="58" ht="30" customHeight="1">
      <c r="B58" s="28" t="inlineStr">
        <is>
          <t>H position</t>
        </is>
      </c>
      <c r="C58" s="28" t="inlineStr">
        <is>
          <t>Resonance peak energy (eV)</t>
        </is>
      </c>
      <c r="D58" s="28" t="inlineStr">
        <is>
          <t>Notable features</t>
        </is>
      </c>
    </row>
    <row r="59" ht="20" customHeight="1">
      <c r="B59" s="160" t="inlineStr">
        <is>
          <t>Pure Cr₂O₃</t>
        </is>
      </c>
      <c r="C59" s="160" t="inlineStr">
        <is>
          <t>—</t>
        </is>
      </c>
      <c r="D59" s="160" t="inlineStr">
        <is>
          <t>Baseline — no H present</t>
        </is>
      </c>
    </row>
    <row r="60" ht="20" customHeight="1">
      <c r="B60" s="162" t="inlineStr">
        <is>
          <t>α (center)</t>
        </is>
      </c>
      <c r="C60" s="162" t="inlineStr">
        <is>
          <t>−8.13</t>
        </is>
      </c>
      <c r="D60" s="172" t="inlineStr">
        <is>
          <t>H bonds with Cr and O. Interaction with Cr is weak.</t>
        </is>
      </c>
    </row>
    <row r="61" ht="20" customHeight="1">
      <c r="B61" s="160" t="inlineStr">
        <is>
          <t>β (stable)</t>
        </is>
      </c>
      <c r="C61" s="160" t="inlineStr">
        <is>
          <t>~−9.41</t>
        </is>
      </c>
      <c r="D61" s="176" t="inlineStr">
        <is>
          <t>Peaks shift to lower energy. Resonance strength increases significantly. New H–Cr peak at ~−21.13 eV. DOS peak decreases at ~+0.22 eV.</t>
        </is>
      </c>
    </row>
    <row r="62" ht="20" customHeight="1">
      <c r="B62" s="162" t="inlineStr">
        <is>
          <t>γ</t>
        </is>
      </c>
      <c r="C62" s="162" t="inlineStr">
        <is>
          <t>~−9.41</t>
        </is>
      </c>
      <c r="D62" s="172" t="inlineStr">
        <is>
          <t>No significant change from β position.</t>
        </is>
      </c>
    </row>
    <row r="63" ht="8" customHeight="1"/>
    <row r="64" ht="18" customHeight="1">
      <c r="B64" s="158" t="inlineStr">
        <is>
          <t>DFT CALCULATION SETTINGS — Section 2.2</t>
        </is>
      </c>
    </row>
    <row r="65" ht="30" customHeight="1">
      <c r="B65" s="28" t="inlineStr">
        <is>
          <t>Setting</t>
        </is>
      </c>
      <c r="C65" s="28" t="inlineStr">
        <is>
          <t>Value</t>
        </is>
      </c>
      <c r="D65" s="28" t="inlineStr">
        <is>
          <t>Notes</t>
        </is>
      </c>
    </row>
    <row r="66" ht="16" customHeight="1">
      <c r="B66" s="160" t="inlineStr">
        <is>
          <t>Software</t>
        </is>
      </c>
      <c r="C66" s="160" t="inlineStr">
        <is>
          <t>CASTEP</t>
        </is>
      </c>
      <c r="D66" s="160" t="inlineStr"/>
    </row>
    <row r="67" ht="16" customHeight="1">
      <c r="B67" s="162" t="inlineStr">
        <is>
          <t>Exchange-correlation</t>
        </is>
      </c>
      <c r="C67" s="162" t="inlineStr">
        <is>
          <t>GGA / PW91</t>
        </is>
      </c>
      <c r="D67" s="162" t="inlineStr">
        <is>
          <t>Perdew-Wang 1991 — Ref 19</t>
        </is>
      </c>
    </row>
    <row r="68" ht="16" customHeight="1">
      <c r="B68" s="160" t="inlineStr">
        <is>
          <t>Plane wave cut-off energy</t>
        </is>
      </c>
      <c r="C68" s="160" t="inlineStr">
        <is>
          <t>380 eV</t>
        </is>
      </c>
      <c r="D68" s="160" t="inlineStr"/>
    </row>
    <row r="69" ht="16" customHeight="1">
      <c r="B69" s="162" t="inlineStr">
        <is>
          <t>K-point mesh</t>
        </is>
      </c>
      <c r="C69" s="162" t="inlineStr">
        <is>
          <t>5 × 5 × 2</t>
        </is>
      </c>
      <c r="D69" s="162" t="inlineStr"/>
    </row>
    <row r="70" ht="16" customHeight="1">
      <c r="B70" s="160" t="inlineStr">
        <is>
          <t>Pseudopotential</t>
        </is>
      </c>
      <c r="C70" s="160" t="inlineStr">
        <is>
          <t>Ultra-soft</t>
        </is>
      </c>
      <c r="D70" s="160" t="inlineStr">
        <is>
          <t>Vanderbilt — Ref 20</t>
        </is>
      </c>
    </row>
    <row r="71" ht="16" customHeight="1">
      <c r="B71" s="162" t="inlineStr">
        <is>
          <t>Convergence: energy</t>
        </is>
      </c>
      <c r="C71" s="162" t="inlineStr">
        <is>
          <t>1 × 10⁻⁵ eV/atom</t>
        </is>
      </c>
      <c r="D71" s="162" t="inlineStr"/>
    </row>
    <row r="72" ht="16" customHeight="1">
      <c r="B72" s="160" t="inlineStr">
        <is>
          <t>Convergence: force</t>
        </is>
      </c>
      <c r="C72" s="160" t="inlineStr">
        <is>
          <t>0.03 eV/Å</t>
        </is>
      </c>
      <c r="D72" s="160" t="inlineStr"/>
    </row>
    <row r="73" ht="16" customHeight="1">
      <c r="B73" s="162" t="inlineStr">
        <is>
          <t>Convergence: displacement</t>
        </is>
      </c>
      <c r="C73" s="162" t="inlineStr">
        <is>
          <t>0.001 Å</t>
        </is>
      </c>
      <c r="D73" s="162" t="inlineStr"/>
    </row>
    <row r="74" ht="16" customHeight="1">
      <c r="B74" s="160" t="inlineStr">
        <is>
          <t>Convergence: stress</t>
        </is>
      </c>
      <c r="C74" s="160" t="inlineStr">
        <is>
          <t>0.05 GPa</t>
        </is>
      </c>
      <c r="D74" s="160" t="inlineStr"/>
    </row>
    <row r="75" ht="16" customHeight="1">
      <c r="B75" s="162" t="inlineStr">
        <is>
          <t>TS search method</t>
        </is>
      </c>
      <c r="C75" s="172" t="inlineStr">
        <is>
          <t>Complete LST/QST + conjugate gradient</t>
        </is>
      </c>
      <c r="D75" s="162" t="inlineStr">
        <is>
          <t>Ref 21</t>
        </is>
      </c>
    </row>
    <row r="76" ht="12" customHeight="1"/>
  </sheetData>
  <mergeCells count="19">
    <mergeCell ref="B54:I54"/>
    <mergeCell ref="B56:I56"/>
    <mergeCell ref="B11:I11"/>
    <mergeCell ref="B2:I2"/>
    <mergeCell ref="B57:I57"/>
    <mergeCell ref="B1:I1"/>
    <mergeCell ref="B17:I17"/>
    <mergeCell ref="B29:I29"/>
    <mergeCell ref="B10:I10"/>
    <mergeCell ref="B28:I28"/>
    <mergeCell ref="B4:I4"/>
    <mergeCell ref="B19:I19"/>
    <mergeCell ref="B49:I49"/>
    <mergeCell ref="B64:I64"/>
    <mergeCell ref="B20:I20"/>
    <mergeCell ref="B5:I5"/>
    <mergeCell ref="B36:I36"/>
    <mergeCell ref="B35:I35"/>
    <mergeCell ref="B50:I5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I140"/>
  <sheetViews>
    <sheetView showGridLines="0" workbookViewId="0">
      <selection activeCell="A1" sqref="A1"/>
    </sheetView>
  </sheetViews>
  <sheetFormatPr baseColWidth="8" defaultRowHeight="15"/>
  <cols>
    <col width="3" customWidth="1" min="1" max="1"/>
    <col width="32" customWidth="1" min="2" max="2"/>
    <col width="22" customWidth="1" min="3" max="3"/>
    <col width="18" customWidth="1" min="4" max="4"/>
    <col width="18" customWidth="1" min="5" max="5"/>
    <col width="18" customWidth="1" min="6" max="6"/>
    <col width="22" customWidth="1" min="7" max="7"/>
    <col width="28" customWidth="1" min="8" max="8"/>
    <col width="16" customWidth="1" min="9" max="9"/>
  </cols>
  <sheetData>
    <row r="1" ht="26" customHeight="1">
      <c r="B1" s="157" t="inlineStr">
        <is>
          <t>Nemanic et al. 2023 — Raw Data Extraction</t>
        </is>
      </c>
    </row>
    <row r="2" ht="28" customHeight="1">
      <c r="B2" s="156" t="inlineStr">
        <is>
          <t>Nemanic V, Kovac J, Zumer M, Zavasnik J. "Impact of surface oxide on hydrogen permeability of chromium membranes." Int. J. Hydrogen Energy 48 (2023) 9723–9733. DOI: 10.1016/j.ijhydene.2022.11.267  |  All data extracted exactly as reported in the paper. No calculations performed.</t>
        </is>
      </c>
    </row>
    <row r="3" ht="8" customHeight="1"/>
    <row r="4" ht="18" customHeight="1">
      <c r="B4" s="158" t="inlineStr">
        <is>
          <t>SAMPLE SPECIFICATIONS</t>
        </is>
      </c>
    </row>
    <row r="5" ht="30" customHeight="1">
      <c r="B5" s="28" t="inlineStr">
        <is>
          <t>Parameter</t>
        </is>
      </c>
      <c r="C5" s="28" t="inlineStr">
        <is>
          <t>Value</t>
        </is>
      </c>
      <c r="D5" s="28" t="inlineStr">
        <is>
          <t>Units</t>
        </is>
      </c>
      <c r="E5" s="28" t="inlineStr">
        <is>
          <t>Notes</t>
        </is>
      </c>
    </row>
    <row r="6" ht="16" customHeight="1">
      <c r="B6" s="262" t="inlineStr">
        <is>
          <t>Material</t>
        </is>
      </c>
      <c r="C6" s="262" t="inlineStr">
        <is>
          <t>High-purity chromium (PI-KEM Ltd.)</t>
        </is>
      </c>
      <c r="D6" s="262" t="inlineStr">
        <is>
          <t>—</t>
        </is>
      </c>
      <c r="E6" s="262" t="inlineStr"/>
    </row>
    <row r="7" ht="16" customHeight="1">
      <c r="B7" s="264" t="inlineStr">
        <is>
          <t>Purity</t>
        </is>
      </c>
      <c r="C7" s="264" t="inlineStr">
        <is>
          <t>99.95%</t>
        </is>
      </c>
      <c r="D7" s="264" t="inlineStr">
        <is>
          <t>%</t>
        </is>
      </c>
      <c r="E7" s="264" t="inlineStr"/>
    </row>
    <row r="8" ht="16" customHeight="1">
      <c r="B8" s="262" t="inlineStr">
        <is>
          <t>Membrane diameter</t>
        </is>
      </c>
      <c r="C8" s="262" t="inlineStr">
        <is>
          <t>40</t>
        </is>
      </c>
      <c r="D8" s="262" t="inlineStr">
        <is>
          <t>mm</t>
        </is>
      </c>
      <c r="E8" s="262" t="inlineStr"/>
    </row>
    <row r="9" ht="16" customHeight="1">
      <c r="B9" s="264" t="inlineStr">
        <is>
          <t>Thicknesses tested</t>
        </is>
      </c>
      <c r="C9" s="264" t="inlineStr">
        <is>
          <t>0.5 and 1.0</t>
        </is>
      </c>
      <c r="D9" s="264" t="inlineStr">
        <is>
          <t>mm</t>
        </is>
      </c>
      <c r="E9" s="15" t="inlineStr">
        <is>
          <t>Half broke during sealing — Cr brittleness</t>
        </is>
      </c>
    </row>
    <row r="10" ht="16" customHeight="1">
      <c r="B10" s="262" t="inlineStr">
        <is>
          <t>Effective exposed area</t>
        </is>
      </c>
      <c r="C10" s="262" t="inlineStr">
        <is>
          <t>~8.5</t>
        </is>
      </c>
      <c r="D10" s="262" t="inlineStr">
        <is>
          <t>cm²</t>
        </is>
      </c>
      <c r="E10" s="19" t="inlineStr">
        <is>
          <t>Slightly dependent on Au gasket deformation</t>
        </is>
      </c>
    </row>
    <row r="11" ht="16" customHeight="1">
      <c r="B11" s="264" t="inlineStr">
        <is>
          <t>Impurity: Fe</t>
        </is>
      </c>
      <c r="C11" s="264" t="inlineStr">
        <is>
          <t>61</t>
        </is>
      </c>
      <c r="D11" s="264" t="inlineStr">
        <is>
          <t>ppm</t>
        </is>
      </c>
      <c r="E11" s="264" t="inlineStr"/>
    </row>
    <row r="12" ht="16" customHeight="1">
      <c r="B12" s="262" t="inlineStr">
        <is>
          <t>Impurity: Na</t>
        </is>
      </c>
      <c r="C12" s="262" t="inlineStr">
        <is>
          <t>48</t>
        </is>
      </c>
      <c r="D12" s="262" t="inlineStr">
        <is>
          <t>ppm</t>
        </is>
      </c>
      <c r="E12" s="262" t="inlineStr"/>
    </row>
    <row r="13" ht="16" customHeight="1">
      <c r="B13" s="264" t="inlineStr">
        <is>
          <t>Impurity: Si</t>
        </is>
      </c>
      <c r="C13" s="264" t="inlineStr">
        <is>
          <t>22</t>
        </is>
      </c>
      <c r="D13" s="264" t="inlineStr">
        <is>
          <t>ppm</t>
        </is>
      </c>
      <c r="E13" s="264" t="inlineStr"/>
    </row>
    <row r="14" ht="16" customHeight="1">
      <c r="B14" s="262" t="inlineStr">
        <is>
          <t>Impurity: Al</t>
        </is>
      </c>
      <c r="C14" s="262" t="inlineStr">
        <is>
          <t>18</t>
        </is>
      </c>
      <c r="D14" s="262" t="inlineStr">
        <is>
          <t>ppm</t>
        </is>
      </c>
      <c r="E14" s="262" t="inlineStr"/>
    </row>
    <row r="15" ht="16" customHeight="1">
      <c r="B15" s="264" t="inlineStr">
        <is>
          <t>Impurity: Mo</t>
        </is>
      </c>
      <c r="C15" s="264" t="inlineStr">
        <is>
          <t>16.3</t>
        </is>
      </c>
      <c r="D15" s="264" t="inlineStr">
        <is>
          <t>ppm</t>
        </is>
      </c>
      <c r="E15" s="264" t="inlineStr"/>
    </row>
    <row r="16" ht="16" customHeight="1">
      <c r="B16" s="262" t="inlineStr">
        <is>
          <t>Impurity: Cu</t>
        </is>
      </c>
      <c r="C16" s="262" t="inlineStr">
        <is>
          <t>2.7</t>
        </is>
      </c>
      <c r="D16" s="262" t="inlineStr">
        <is>
          <t>ppm</t>
        </is>
      </c>
      <c r="E16" s="262" t="inlineStr"/>
    </row>
    <row r="17" ht="16" customHeight="1">
      <c r="B17" s="264" t="inlineStr">
        <is>
          <t>Impurity: Ni</t>
        </is>
      </c>
      <c r="C17" s="264" t="inlineStr">
        <is>
          <t>2.5</t>
        </is>
      </c>
      <c r="D17" s="264" t="inlineStr">
        <is>
          <t>ppm</t>
        </is>
      </c>
      <c r="E17" s="264" t="inlineStr"/>
    </row>
    <row r="18" ht="16" customHeight="1">
      <c r="B18" s="262" t="inlineStr">
        <is>
          <t>Sample 5 Pd layer</t>
        </is>
      </c>
      <c r="C18" s="262" t="inlineStr">
        <is>
          <t>~100</t>
        </is>
      </c>
      <c r="D18" s="262" t="inlineStr">
        <is>
          <t>nm</t>
        </is>
      </c>
      <c r="E18" s="19" t="inlineStr">
        <is>
          <t>PVD magnetron sputtering, both sides</t>
        </is>
      </c>
    </row>
    <row r="19" ht="16" customHeight="1">
      <c r="B19" s="264" t="inlineStr">
        <is>
          <t>Sample 5 thickness</t>
        </is>
      </c>
      <c r="C19" s="264" t="inlineStr">
        <is>
          <t>1.0</t>
        </is>
      </c>
      <c r="D19" s="264" t="inlineStr">
        <is>
          <t>mm</t>
        </is>
      </c>
      <c r="E19" s="264" t="inlineStr">
        <is>
          <t>Reference membrane — Pd-coated</t>
        </is>
      </c>
    </row>
    <row r="20" ht="16" customHeight="1">
      <c r="B20" s="262" t="inlineStr">
        <is>
          <t>Sample 6</t>
        </is>
      </c>
      <c r="C20" s="262" t="inlineStr">
        <is>
          <t>Polished, vacuum-treated only</t>
        </is>
      </c>
      <c r="D20" s="262" t="inlineStr">
        <is>
          <t>—</t>
        </is>
      </c>
      <c r="E20" s="262" t="inlineStr">
        <is>
          <t>No permeation tests — XPS only</t>
        </is>
      </c>
    </row>
    <row r="21" ht="8" customHeight="1"/>
    <row r="22" ht="18" customHeight="1">
      <c r="B22" s="158" t="inlineStr">
        <is>
          <t>TABLE 1 — Sample Designation and Treatments (as printed)</t>
        </is>
      </c>
    </row>
    <row r="23" ht="40" customHeight="1">
      <c r="B23" s="164" t="inlineStr">
        <is>
          <t>Column headers as in paper: 1=Sample, 2=Duration of controlled oxidation, 3=Additional analysis after permeation evaluation, 4=Comments.  FLAG: Sample 2 oxidation time printed as "21" — likely "2" + footnote marker "1" (PDF extraction artifact). Context suggests 2h or 20h per paper text.</t>
        </is>
      </c>
    </row>
    <row r="24" ht="30" customHeight="1">
      <c r="B24" s="28" t="inlineStr">
        <is>
          <t>Sample</t>
        </is>
      </c>
      <c r="C24" s="28" t="inlineStr">
        <is>
          <t>Oxidation time (h) as printed</t>
        </is>
      </c>
      <c r="D24" s="28" t="inlineStr">
        <is>
          <t>Analysis</t>
        </is>
      </c>
      <c r="E24" s="28" t="inlineStr">
        <is>
          <t>Comments</t>
        </is>
      </c>
    </row>
    <row r="25" ht="16" customHeight="1">
      <c r="B25" s="262" t="inlineStr">
        <is>
          <t>1</t>
        </is>
      </c>
      <c r="C25" s="262" t="inlineStr">
        <is>
          <t>20</t>
        </is>
      </c>
      <c r="D25" s="262" t="inlineStr">
        <is>
          <t>SEM</t>
        </is>
      </c>
      <c r="E25" s="262" t="inlineStr">
        <is>
          <t>permeation tests</t>
        </is>
      </c>
    </row>
    <row r="26" ht="16" customHeight="1">
      <c r="B26" s="264" t="inlineStr">
        <is>
          <t>2</t>
        </is>
      </c>
      <c r="C26" s="264" t="inlineStr">
        <is>
          <t>21*</t>
        </is>
      </c>
      <c r="D26" s="264" t="inlineStr">
        <is>
          <t>SEM</t>
        </is>
      </c>
      <c r="E26" s="264" t="inlineStr">
        <is>
          <t>permeation tests  (*see note above)</t>
        </is>
      </c>
    </row>
    <row r="27" ht="16" customHeight="1">
      <c r="B27" s="262" t="inlineStr">
        <is>
          <t>3</t>
        </is>
      </c>
      <c r="C27" s="262" t="inlineStr">
        <is>
          <t>2</t>
        </is>
      </c>
      <c r="D27" s="262" t="inlineStr">
        <is>
          <t>SEM, XPS</t>
        </is>
      </c>
      <c r="E27" s="262" t="inlineStr">
        <is>
          <t>permeation tests</t>
        </is>
      </c>
    </row>
    <row r="28" ht="16" customHeight="1">
      <c r="B28" s="264" t="inlineStr">
        <is>
          <t>4</t>
        </is>
      </c>
      <c r="C28" s="264" t="inlineStr">
        <is>
          <t>2+20</t>
        </is>
      </c>
      <c r="D28" s="264" t="inlineStr">
        <is>
          <t>SEM, XPS</t>
        </is>
      </c>
      <c r="E28" s="264" t="inlineStr">
        <is>
          <t>permeation tests</t>
        </is>
      </c>
    </row>
    <row r="29" ht="16" customHeight="1">
      <c r="B29" s="262" t="inlineStr">
        <is>
          <t>5</t>
        </is>
      </c>
      <c r="C29" s="262" t="inlineStr">
        <is>
          <t>—</t>
        </is>
      </c>
      <c r="D29" s="262" t="inlineStr">
        <is>
          <t>XPS</t>
        </is>
      </c>
      <c r="E29" s="262" t="inlineStr">
        <is>
          <t>100 nm Pd, permeation tests</t>
        </is>
      </c>
    </row>
    <row r="30" ht="16" customHeight="1">
      <c r="B30" s="264" t="inlineStr">
        <is>
          <t>6</t>
        </is>
      </c>
      <c r="C30" s="264" t="inlineStr">
        <is>
          <t>—</t>
        </is>
      </c>
      <c r="D30" s="264" t="inlineStr">
        <is>
          <t>SEM, XPS</t>
        </is>
      </c>
      <c r="E30" s="264" t="inlineStr">
        <is>
          <t>no permeation tests</t>
        </is>
      </c>
    </row>
    <row r="31" ht="8" customHeight="1"/>
    <row r="32" ht="18" customHeight="1">
      <c r="B32" s="158" t="inlineStr">
        <is>
          <t>TABLE 2 — PRF and Time-Lag Data (as printed)</t>
        </is>
      </c>
    </row>
    <row r="33" ht="40" customHeight="1">
      <c r="B33" s="159" t="inlineStr">
        <is>
          <t>Column headers as in paper: 1=Sample, 2=iPRFDL, 3=iLDL (s), 4=Oxidation duration (h) at 400°C/900mbar O₂, 5=aPRFDL, 6=aLDL (s), 7=aPRFDL/iPRFDL, 8=CrOx film thickness d (nm).  Sample 4 has two rows: first for 2h oxidation cycle, second for additional 20h cycle.  Missing values (—) indicate dp/dt indistinguishable from background.</t>
        </is>
      </c>
    </row>
    <row r="34" ht="30" customHeight="1">
      <c r="B34" s="28" t="inlineStr">
        <is>
          <t>Sample</t>
        </is>
      </c>
      <c r="C34" s="28" t="inlineStr">
        <is>
          <t>iPRFDL</t>
        </is>
      </c>
      <c r="D34" s="28" t="inlineStr">
        <is>
          <t>iLDL (s)</t>
        </is>
      </c>
      <c r="E34" s="28" t="inlineStr">
        <is>
          <t>Oxidation (h)</t>
        </is>
      </c>
      <c r="F34" s="28" t="inlineStr">
        <is>
          <t>aPRFDL</t>
        </is>
      </c>
      <c r="G34" s="28" t="inlineStr">
        <is>
          <t>aLDL (s)</t>
        </is>
      </c>
      <c r="H34" s="28" t="inlineStr">
        <is>
          <t>aPRFDL/iPRFDL</t>
        </is>
      </c>
      <c r="I34" s="28" t="inlineStr">
        <is>
          <t>d (nm) by XPS</t>
        </is>
      </c>
    </row>
    <row r="35" ht="16" customHeight="1">
      <c r="B35" s="262" t="inlineStr">
        <is>
          <t>1</t>
        </is>
      </c>
      <c r="C35" s="263" t="n">
        <v>5</v>
      </c>
      <c r="D35" s="263" t="n">
        <v>80</v>
      </c>
      <c r="E35" s="262" t="inlineStr">
        <is>
          <t>20</t>
        </is>
      </c>
      <c r="F35" s="263" t="n">
        <v>122</v>
      </c>
      <c r="G35" s="263" t="n">
        <v>750</v>
      </c>
      <c r="H35" s="263" t="n">
        <v>24</v>
      </c>
      <c r="I35" s="262" t="inlineStr">
        <is>
          <t>—</t>
        </is>
      </c>
    </row>
    <row r="36" ht="16" customHeight="1">
      <c r="B36" s="264" t="inlineStr">
        <is>
          <t>2</t>
        </is>
      </c>
      <c r="C36" s="265" t="n">
        <v>9</v>
      </c>
      <c r="D36" s="265" t="n">
        <v>50</v>
      </c>
      <c r="E36" s="264" t="inlineStr">
        <is>
          <t>21*</t>
        </is>
      </c>
      <c r="F36" s="265" t="n">
        <v>31</v>
      </c>
      <c r="G36" s="264" t="inlineStr">
        <is>
          <t>—</t>
        </is>
      </c>
      <c r="H36" s="265" t="n">
        <v>3</v>
      </c>
      <c r="I36" s="264" t="inlineStr">
        <is>
          <t>—</t>
        </is>
      </c>
    </row>
    <row r="37" ht="16" customHeight="1">
      <c r="B37" s="216" t="inlineStr">
        <is>
          <t>3</t>
        </is>
      </c>
      <c r="C37" s="241" t="n">
        <v>4</v>
      </c>
      <c r="D37" s="241" t="n">
        <v>200</v>
      </c>
      <c r="E37" s="216" t="inlineStr">
        <is>
          <t>2</t>
        </is>
      </c>
      <c r="F37" s="241" t="n">
        <v>3900</v>
      </c>
      <c r="G37" s="216" t="inlineStr">
        <is>
          <t>—</t>
        </is>
      </c>
      <c r="H37" s="241" t="n">
        <v>980</v>
      </c>
      <c r="I37" s="216" t="inlineStr">
        <is>
          <t>28</t>
        </is>
      </c>
    </row>
    <row r="38" ht="16" customHeight="1">
      <c r="B38" s="185" t="inlineStr">
        <is>
          <t>4 (cycle 1)</t>
        </is>
      </c>
      <c r="C38" s="186" t="n">
        <v>3</v>
      </c>
      <c r="D38" s="186" t="n">
        <v>45</v>
      </c>
      <c r="E38" s="185" t="inlineStr">
        <is>
          <t>2</t>
        </is>
      </c>
      <c r="F38" s="186" t="n">
        <v>407</v>
      </c>
      <c r="G38" s="186" t="n">
        <v>700</v>
      </c>
      <c r="H38" s="186" t="n">
        <v>136</v>
      </c>
      <c r="I38" s="185" t="inlineStr">
        <is>
          <t>—</t>
        </is>
      </c>
    </row>
    <row r="39" ht="16" customHeight="1">
      <c r="B39" s="185" t="inlineStr">
        <is>
          <t>4 (cycle 2)</t>
        </is>
      </c>
      <c r="C39" s="186" t="n">
        <v>5</v>
      </c>
      <c r="D39" s="186" t="n">
        <v>20</v>
      </c>
      <c r="E39" s="185" t="inlineStr">
        <is>
          <t>20</t>
        </is>
      </c>
      <c r="F39" s="186" t="n">
        <v>915</v>
      </c>
      <c r="G39" s="186" t="n">
        <v>450</v>
      </c>
      <c r="H39" s="186" t="n">
        <v>305</v>
      </c>
      <c r="I39" s="185" t="inlineStr">
        <is>
          <t>48</t>
        </is>
      </c>
    </row>
    <row r="40" ht="16" customHeight="1">
      <c r="B40" s="264" t="inlineStr">
        <is>
          <t>5</t>
        </is>
      </c>
      <c r="C40" s="265" t="n">
        <v>1</v>
      </c>
      <c r="D40" s="265" t="n">
        <v>45</v>
      </c>
      <c r="E40" s="264" t="inlineStr">
        <is>
          <t>—</t>
        </is>
      </c>
      <c r="F40" s="264" t="inlineStr">
        <is>
          <t>—</t>
        </is>
      </c>
      <c r="G40" s="264" t="inlineStr">
        <is>
          <t>—</t>
        </is>
      </c>
      <c r="H40" s="264" t="inlineStr">
        <is>
          <t>—</t>
        </is>
      </c>
      <c r="I40" s="264" t="inlineStr">
        <is>
          <t>—</t>
        </is>
      </c>
    </row>
    <row r="41" ht="16" customHeight="1">
      <c r="B41" s="262" t="inlineStr">
        <is>
          <t>6</t>
        </is>
      </c>
      <c r="C41" s="262" t="inlineStr">
        <is>
          <t>—</t>
        </is>
      </c>
      <c r="D41" s="262" t="inlineStr">
        <is>
          <t>—</t>
        </is>
      </c>
      <c r="E41" s="262" t="inlineStr">
        <is>
          <t>—</t>
        </is>
      </c>
      <c r="F41" s="262" t="inlineStr">
        <is>
          <t>—</t>
        </is>
      </c>
      <c r="G41" s="262" t="inlineStr">
        <is>
          <t>—</t>
        </is>
      </c>
      <c r="H41" s="262" t="inlineStr">
        <is>
          <t>—</t>
        </is>
      </c>
      <c r="I41" s="262" t="inlineStr">
        <is>
          <t>2.7</t>
        </is>
      </c>
    </row>
    <row r="42" ht="8" customHeight="1"/>
    <row r="43" ht="18" customHeight="1">
      <c r="B43" s="158" t="inlineStr">
        <is>
          <t>TABLE 3 — Derived PCrOx and DCrOx at 400°C (as printed)</t>
        </is>
      </c>
    </row>
    <row r="44" ht="30" customHeight="1">
      <c r="B44" s="159" t="inlineStr">
        <is>
          <t>Values derived using Equations (3)–(5) from paper.  Di Hea value from Ref. [9] — He et al. 2014, MOCVD-grown Cr₂O₃ on SS.  PCr (400°C) from Sample 5 = 2.45×10⁻¹² mol H₂/s/m/Pa⁰·⁵ (stated in Discussion).</t>
        </is>
      </c>
    </row>
    <row r="45" ht="30" customHeight="1">
      <c r="B45" s="28" t="inlineStr">
        <is>
          <t>Sample</t>
        </is>
      </c>
      <c r="C45" s="28" t="inlineStr">
        <is>
          <t>PCrOx (400°C) [mol H₂/s/m/Pa⁰·⁵]</t>
        </is>
      </c>
      <c r="D45" s="28" t="inlineStr">
        <is>
          <t>DCrOx (400°C) [m²/s]</t>
        </is>
      </c>
      <c r="E45" s="28" t="inlineStr">
        <is>
          <t>Notes</t>
        </is>
      </c>
    </row>
    <row r="46" ht="16" customHeight="1">
      <c r="B46" s="216" t="inlineStr">
        <is>
          <t>3</t>
        </is>
      </c>
      <c r="C46" s="187" t="n">
        <v>7e-20</v>
      </c>
      <c r="D46" s="187" t="n">
        <v>7.8e-19</v>
      </c>
      <c r="E46" s="132" t="inlineStr">
        <is>
          <t>Best-performing sample. PRF=3900. 28 nm oxide.</t>
        </is>
      </c>
    </row>
    <row r="47" ht="16" customHeight="1">
      <c r="B47" s="264" t="inlineStr">
        <is>
          <t>4</t>
        </is>
      </c>
      <c r="C47" s="267" t="n">
        <v>3.4e-19</v>
      </c>
      <c r="D47" s="267" t="n">
        <v>9.600000000000001e-19</v>
      </c>
      <c r="E47" s="264" t="inlineStr">
        <is>
          <t>Two-cycle oxidation. 48 nm oxide.</t>
        </is>
      </c>
    </row>
    <row r="48" ht="16" customHeight="1">
      <c r="B48" s="262" t="inlineStr">
        <is>
          <t>Di Hea (Ref. 9)</t>
        </is>
      </c>
      <c r="C48" s="266" t="n">
        <v>1.5e-17</v>
      </c>
      <c r="D48" s="262" t="inlineStr">
        <is>
          <t>—</t>
        </is>
      </c>
      <c r="E48" s="19" t="inlineStr">
        <is>
          <t>MOCVD Cr₂O₃ on SS — Ref. [9] He et al. 2014</t>
        </is>
      </c>
    </row>
    <row r="49" ht="8" customHeight="1"/>
    <row r="50" ht="18" customHeight="1">
      <c r="B50" s="158" t="inlineStr">
        <is>
          <t>REFERENCE Cr MEMBRANE PARAMETERS — Sample 5 (Pd-coated, 1 mm)</t>
        </is>
      </c>
    </row>
    <row r="51" ht="22" customHeight="1">
      <c r="B51" s="159" t="inlineStr">
        <is>
          <t>Extracted from Fig. 4 Arrhenius fit and Discussion section.  500°C data corrected ×2 to account for Pd migration into Cr bulk.</t>
        </is>
      </c>
    </row>
    <row r="52" ht="30" customHeight="1">
      <c r="B52" s="28" t="inlineStr">
        <is>
          <t>Parameter</t>
        </is>
      </c>
      <c r="C52" s="28" t="inlineStr">
        <is>
          <t>Value</t>
        </is>
      </c>
      <c r="D52" s="28" t="inlineStr">
        <is>
          <t>Units</t>
        </is>
      </c>
      <c r="E52" s="28" t="inlineStr">
        <is>
          <t>Notes</t>
        </is>
      </c>
    </row>
    <row r="53" ht="16" customHeight="1">
      <c r="B53" s="262" t="inlineStr">
        <is>
          <t>P0 (permeability pre-exp)</t>
        </is>
      </c>
      <c r="C53" s="262" t="inlineStr">
        <is>
          <t>3.23 × 10⁻⁷</t>
        </is>
      </c>
      <c r="D53" s="262" t="inlineStr">
        <is>
          <t>mol H₂/s/m/Pa⁰·⁵</t>
        </is>
      </c>
      <c r="E53" s="262" t="inlineStr">
        <is>
          <t>From Arrhenius fit Fig. 4</t>
        </is>
      </c>
    </row>
    <row r="54" ht="16" customHeight="1">
      <c r="B54" s="264" t="inlineStr">
        <is>
          <t>Ea (permeability)</t>
        </is>
      </c>
      <c r="C54" s="264" t="inlineStr">
        <is>
          <t>0.68</t>
        </is>
      </c>
      <c r="D54" s="264" t="inlineStr">
        <is>
          <t>eV</t>
        </is>
      </c>
      <c r="E54" s="264" t="inlineStr">
        <is>
          <t>Activation energy for permeation</t>
        </is>
      </c>
    </row>
    <row r="55" ht="16" customHeight="1">
      <c r="B55" s="262" t="inlineStr">
        <is>
          <t>D0 (diffusivity pre-exp)</t>
        </is>
      </c>
      <c r="C55" s="262" t="inlineStr">
        <is>
          <t>9.0 × 10⁻⁵</t>
        </is>
      </c>
      <c r="D55" s="262" t="inlineStr">
        <is>
          <t>m²/s</t>
        </is>
      </c>
      <c r="E55" s="262" t="inlineStr">
        <is>
          <t>From Arrhenius fit Fig. 4</t>
        </is>
      </c>
    </row>
    <row r="56" ht="16" customHeight="1">
      <c r="B56" s="264" t="inlineStr">
        <is>
          <t>Ea (diffusivity)</t>
        </is>
      </c>
      <c r="C56" s="264" t="inlineStr">
        <is>
          <t>0.59</t>
        </is>
      </c>
      <c r="D56" s="264" t="inlineStr">
        <is>
          <t>eV</t>
        </is>
      </c>
      <c r="E56" s="264" t="inlineStr">
        <is>
          <t>Activation energy for diffusion</t>
        </is>
      </c>
    </row>
    <row r="57" ht="16" customHeight="1">
      <c r="B57" s="262" t="inlineStr">
        <is>
          <t>Temperature range</t>
        </is>
      </c>
      <c r="C57" s="262" t="inlineStr">
        <is>
          <t>200 to 500</t>
        </is>
      </c>
      <c r="D57" s="262" t="inlineStr">
        <is>
          <t>°C (473 to 773 K)</t>
        </is>
      </c>
      <c r="E57" s="262" t="inlineStr"/>
    </row>
    <row r="58" ht="16" customHeight="1">
      <c r="B58" s="264" t="inlineStr">
        <is>
          <t>jCr (400°C, 1 bar)</t>
        </is>
      </c>
      <c r="C58" s="264" t="inlineStr">
        <is>
          <t>7.04 × 10⁻⁷</t>
        </is>
      </c>
      <c r="D58" s="264" t="inlineStr">
        <is>
          <t>mol H₂/m²/s</t>
        </is>
      </c>
      <c r="E58" s="264" t="inlineStr">
        <is>
          <t>Steady-state, Pd-coated reference</t>
        </is>
      </c>
    </row>
    <row r="59" ht="16" customHeight="1">
      <c r="B59" s="262" t="inlineStr">
        <is>
          <t>PCr (400°C)</t>
        </is>
      </c>
      <c r="C59" s="262" t="inlineStr">
        <is>
          <t>2.45 × 10⁻¹²</t>
        </is>
      </c>
      <c r="D59" s="262" t="inlineStr">
        <is>
          <t>mol H₂/s/m/Pa⁰·⁵</t>
        </is>
      </c>
      <c r="E59" s="262" t="inlineStr">
        <is>
          <t>Calculated from Sample 5 at 400°C</t>
        </is>
      </c>
    </row>
    <row r="60" ht="16" customHeight="1">
      <c r="B60" s="264" t="inlineStr">
        <is>
          <t>LCr (400°C)</t>
        </is>
      </c>
      <c r="C60" s="264" t="inlineStr">
        <is>
          <t>48 ± 3</t>
        </is>
      </c>
      <c r="D60" s="264" t="inlineStr">
        <is>
          <t>s</t>
        </is>
      </c>
      <c r="E60" s="264" t="inlineStr">
        <is>
          <t>Time-lag at 400°C</t>
        </is>
      </c>
    </row>
    <row r="61" ht="16" customHeight="1">
      <c r="B61" s="262" t="inlineStr">
        <is>
          <t>LCr (200°C)</t>
        </is>
      </c>
      <c r="C61" s="262" t="inlineStr">
        <is>
          <t>2.5 ± 0.05</t>
        </is>
      </c>
      <c r="D61" s="262" t="inlineStr">
        <is>
          <t>h</t>
        </is>
      </c>
      <c r="E61" s="262" t="inlineStr">
        <is>
          <t>Time-lag at 200°C</t>
        </is>
      </c>
    </row>
    <row r="62" ht="16" customHeight="1">
      <c r="B62" s="264" t="inlineStr">
        <is>
          <t>LCr (800°C)</t>
        </is>
      </c>
      <c r="C62" s="264" t="inlineStr">
        <is>
          <t>~2</t>
        </is>
      </c>
      <c r="D62" s="264" t="inlineStr">
        <is>
          <t>s</t>
        </is>
      </c>
      <c r="E62" s="264" t="inlineStr">
        <is>
          <t>Extrapolated only — not measured</t>
        </is>
      </c>
    </row>
    <row r="63" ht="8" customHeight="1"/>
    <row r="64" ht="18" customHeight="1">
      <c r="B64" s="158" t="inlineStr">
        <is>
          <t>XPS THICKNESS MEASUREMENTS</t>
        </is>
      </c>
    </row>
    <row r="65" ht="20" customHeight="1">
      <c r="B65" s="159" t="inlineStr">
        <is>
          <t>Method: oxide thickness estimated at depth where O concentration curve drops to 50% of its maximum value.</t>
        </is>
      </c>
    </row>
    <row r="66" ht="30" customHeight="1">
      <c r="B66" s="28" t="inlineStr">
        <is>
          <t>Sample</t>
        </is>
      </c>
      <c r="C66" s="28" t="inlineStr">
        <is>
          <t>Treatment</t>
        </is>
      </c>
      <c r="D66" s="28" t="inlineStr">
        <is>
          <t>Oxide thickness (nm)</t>
        </is>
      </c>
      <c r="E66" s="28" t="inlineStr">
        <is>
          <t>Uncertainty (nm)</t>
        </is>
      </c>
      <c r="F66" s="28" t="inlineStr">
        <is>
          <t>Oxide type (XPS-confirmed)</t>
        </is>
      </c>
    </row>
    <row r="67" ht="16" customHeight="1">
      <c r="B67" s="262" t="inlineStr">
        <is>
          <t>6</t>
        </is>
      </c>
      <c r="C67" s="262" t="inlineStr">
        <is>
          <t>Vacuum only, 18h at 400°C</t>
        </is>
      </c>
      <c r="D67" s="262" t="inlineStr">
        <is>
          <t>2.7</t>
        </is>
      </c>
      <c r="E67" s="262" t="inlineStr">
        <is>
          <t>±0.2</t>
        </is>
      </c>
      <c r="F67" s="262" t="inlineStr">
        <is>
          <t>Cr₂O₃-type (native)</t>
        </is>
      </c>
    </row>
    <row r="68" ht="16" customHeight="1">
      <c r="B68" s="264" t="inlineStr">
        <is>
          <t>3</t>
        </is>
      </c>
      <c r="C68" s="264" t="inlineStr">
        <is>
          <t>2h O₂ at 400°C, 900 mbar</t>
        </is>
      </c>
      <c r="D68" s="264" t="inlineStr">
        <is>
          <t>28</t>
        </is>
      </c>
      <c r="E68" s="264" t="inlineStr">
        <is>
          <t>±4</t>
        </is>
      </c>
      <c r="F68" s="264" t="inlineStr">
        <is>
          <t>Cr₂O₃-type</t>
        </is>
      </c>
    </row>
    <row r="69" ht="16" customHeight="1">
      <c r="B69" s="262" t="inlineStr">
        <is>
          <t>4</t>
        </is>
      </c>
      <c r="C69" s="262" t="inlineStr">
        <is>
          <t>2h + 20h O₂ at 400°C</t>
        </is>
      </c>
      <c r="D69" s="262" t="inlineStr">
        <is>
          <t>48</t>
        </is>
      </c>
      <c r="E69" s="262" t="inlineStr">
        <is>
          <t>±6</t>
        </is>
      </c>
      <c r="F69" s="262" t="inlineStr">
        <is>
          <t>Cr₂O₃-type</t>
        </is>
      </c>
    </row>
    <row r="70" ht="8" customHeight="1"/>
    <row r="71" ht="18" customHeight="1">
      <c r="B71" s="158" t="inlineStr">
        <is>
          <t>XPS Cr 2p BINDING ENERGIES (Figure 8)</t>
        </is>
      </c>
    </row>
    <row r="72" ht="30" customHeight="1">
      <c r="B72" s="28" t="inlineStr">
        <is>
          <t>Peak / Component</t>
        </is>
      </c>
      <c r="C72" s="28" t="inlineStr">
        <is>
          <t>Binding energy (eV)</t>
        </is>
      </c>
      <c r="D72" s="28" t="inlineStr">
        <is>
          <t>Assignment</t>
        </is>
      </c>
    </row>
    <row r="73" ht="16" customHeight="1">
      <c r="B73" s="262" t="inlineStr">
        <is>
          <t>Cr 2p3/2 main</t>
        </is>
      </c>
      <c r="C73" s="262" t="inlineStr">
        <is>
          <t>576</t>
        </is>
      </c>
      <c r="D73" s="262" t="inlineStr">
        <is>
          <t>Cr oxide</t>
        </is>
      </c>
    </row>
    <row r="74" ht="16" customHeight="1">
      <c r="B74" s="264" t="inlineStr">
        <is>
          <t>Cr 2p1/2 main</t>
        </is>
      </c>
      <c r="C74" s="264" t="inlineStr">
        <is>
          <t>587</t>
        </is>
      </c>
      <c r="D74" s="264" t="inlineStr">
        <is>
          <t>Cr oxide</t>
        </is>
      </c>
    </row>
    <row r="75" ht="16" customHeight="1">
      <c r="B75" s="262" t="inlineStr">
        <is>
          <t>Cr(3+) component 1</t>
        </is>
      </c>
      <c r="C75" s="262" t="inlineStr">
        <is>
          <t>575.5–575.9</t>
        </is>
      </c>
      <c r="D75" s="262" t="inlineStr">
        <is>
          <t>Cr₂O₃-like oxide</t>
        </is>
      </c>
    </row>
    <row r="76" ht="16" customHeight="1">
      <c r="B76" s="264" t="inlineStr">
        <is>
          <t>Cr(3+) component 2</t>
        </is>
      </c>
      <c r="C76" s="264" t="inlineStr">
        <is>
          <t>576.1–577.1</t>
        </is>
      </c>
      <c r="D76" s="264" t="inlineStr">
        <is>
          <t>Cr₂O₃-like oxide</t>
        </is>
      </c>
    </row>
    <row r="77" ht="16" customHeight="1">
      <c r="B77" s="262" t="inlineStr">
        <is>
          <t>Cr(3+) component 3</t>
        </is>
      </c>
      <c r="C77" s="262" t="inlineStr">
        <is>
          <t>577.2–578.5</t>
        </is>
      </c>
      <c r="D77" s="262" t="inlineStr">
        <is>
          <t>Cr₂O₃-like oxide</t>
        </is>
      </c>
    </row>
    <row r="78" ht="16" customHeight="1">
      <c r="B78" s="264" t="inlineStr">
        <is>
          <t>Cr–OH</t>
        </is>
      </c>
      <c r="C78" s="264" t="inlineStr">
        <is>
          <t>576.7–577.1</t>
        </is>
      </c>
      <c r="D78" s="264" t="inlineStr">
        <is>
          <t>Chromium hydroxide (not excluded)</t>
        </is>
      </c>
    </row>
    <row r="79" ht="16" customHeight="1">
      <c r="B79" s="262" t="inlineStr">
        <is>
          <t>Metallic Cr (Sample 6)</t>
        </is>
      </c>
      <c r="C79" s="262" t="inlineStr">
        <is>
          <t>574.9</t>
        </is>
      </c>
      <c r="D79" s="19" t="inlineStr">
        <is>
          <t>Underlayer — visible through thin native oxide</t>
        </is>
      </c>
    </row>
    <row r="80" ht="8" customHeight="1"/>
    <row r="81" ht="18" customHeight="1">
      <c r="B81" s="158" t="inlineStr">
        <is>
          <t>SEM MEASUREMENTS AND OBSERVATIONS</t>
        </is>
      </c>
    </row>
    <row r="82" ht="30" customHeight="1">
      <c r="B82" s="28" t="inlineStr">
        <is>
          <t>Feature</t>
        </is>
      </c>
      <c r="C82" s="28" t="inlineStr">
        <is>
          <t>Value</t>
        </is>
      </c>
      <c r="D82" s="28" t="inlineStr">
        <is>
          <t>Units</t>
        </is>
      </c>
      <c r="E82" s="28" t="inlineStr">
        <is>
          <t>Sample / Notes</t>
        </is>
      </c>
    </row>
    <row r="83" ht="16" customHeight="1">
      <c r="B83" s="262" t="inlineStr">
        <is>
          <t>Oxide thickness (Sample 3)</t>
        </is>
      </c>
      <c r="C83" s="262" t="inlineStr">
        <is>
          <t>~30</t>
        </is>
      </c>
      <c r="D83" s="262" t="inlineStr">
        <is>
          <t>nm</t>
        </is>
      </c>
      <c r="E83" s="262" t="inlineStr">
        <is>
          <t>FIB cross-section</t>
        </is>
      </c>
    </row>
    <row r="84" ht="16" customHeight="1">
      <c r="B84" s="264" t="inlineStr">
        <is>
          <t>Oxide thickness (Sample 4)</t>
        </is>
      </c>
      <c r="C84" s="264" t="inlineStr">
        <is>
          <t>~50</t>
        </is>
      </c>
      <c r="D84" s="264" t="inlineStr">
        <is>
          <t>nm</t>
        </is>
      </c>
      <c r="E84" s="264" t="inlineStr">
        <is>
          <t>FIB cross-section</t>
        </is>
      </c>
    </row>
    <row r="85" ht="16" customHeight="1">
      <c r="B85" s="262" t="inlineStr">
        <is>
          <t>Near-surface Cr alteration</t>
        </is>
      </c>
      <c r="C85" s="262" t="inlineStr">
        <is>
          <t>0.5</t>
        </is>
      </c>
      <c r="D85" s="262" t="inlineStr">
        <is>
          <t>μm</t>
        </is>
      </c>
      <c r="E85" s="19" t="inlineStr">
        <is>
          <t>Backscatter contrast from mechanical polishing</t>
        </is>
      </c>
    </row>
    <row r="86" ht="16" customHeight="1">
      <c r="B86" s="264" t="inlineStr">
        <is>
          <t>Cr-carbide cluster size</t>
        </is>
      </c>
      <c r="C86" s="264" t="inlineStr">
        <is>
          <t>up to 5</t>
        </is>
      </c>
      <c r="D86" s="264" t="inlineStr">
        <is>
          <t>μm</t>
        </is>
      </c>
      <c r="E86" s="15" t="inlineStr">
        <is>
          <t>Embedded in bulk Cr — from production carbon impurities</t>
        </is>
      </c>
    </row>
    <row r="87" ht="16" customHeight="1">
      <c r="B87" s="262" t="inlineStr">
        <is>
          <t>Carbon surface layer</t>
        </is>
      </c>
      <c r="C87" s="262" t="inlineStr">
        <is>
          <t>1–2</t>
        </is>
      </c>
      <c r="D87" s="262" t="inlineStr">
        <is>
          <t>nm</t>
        </is>
      </c>
      <c r="E87" s="262" t="inlineStr">
        <is>
          <t>Surface contamination</t>
        </is>
      </c>
    </row>
    <row r="88" ht="16" customHeight="1">
      <c r="B88" s="264" t="inlineStr">
        <is>
          <t>Carbon in subsurface/bulk</t>
        </is>
      </c>
      <c r="C88" s="264" t="inlineStr">
        <is>
          <t>~1–3</t>
        </is>
      </c>
      <c r="D88" s="264" t="inlineStr">
        <is>
          <t>at.%</t>
        </is>
      </c>
      <c r="E88" s="264" t="inlineStr">
        <is>
          <t>Carbide — present throughout bulk</t>
        </is>
      </c>
    </row>
    <row r="89" ht="8" customHeight="1"/>
    <row r="90" ht="18" customHeight="1">
      <c r="B90" s="158" t="inlineStr">
        <is>
          <t>EXPERIMENTAL SETUP PARAMETERS</t>
        </is>
      </c>
    </row>
    <row r="91" ht="30" customHeight="1">
      <c r="B91" s="28" t="inlineStr">
        <is>
          <t>Parameter</t>
        </is>
      </c>
      <c r="C91" s="28" t="inlineStr">
        <is>
          <t>Value</t>
        </is>
      </c>
      <c r="D91" s="28" t="inlineStr">
        <is>
          <t>Units</t>
        </is>
      </c>
      <c r="E91" s="28" t="inlineStr">
        <is>
          <t>Notes</t>
        </is>
      </c>
    </row>
    <row r="92" ht="16" customHeight="1">
      <c r="B92" s="262" t="inlineStr">
        <is>
          <t>System type</t>
        </is>
      </c>
      <c r="C92" s="262" t="inlineStr">
        <is>
          <t>All-metal UHV</t>
        </is>
      </c>
      <c r="D92" s="262" t="inlineStr">
        <is>
          <t>—</t>
        </is>
      </c>
      <c r="E92" s="262" t="inlineStr"/>
    </row>
    <row r="93" ht="16" customHeight="1">
      <c r="B93" s="264" t="inlineStr">
        <is>
          <t>Downstream volume V</t>
        </is>
      </c>
      <c r="C93" s="264" t="inlineStr">
        <is>
          <t>0.458</t>
        </is>
      </c>
      <c r="D93" s="264" t="inlineStr">
        <is>
          <t>L</t>
        </is>
      </c>
      <c r="E93" s="264" t="inlineStr"/>
    </row>
    <row r="94" ht="16" customHeight="1">
      <c r="B94" s="262" t="inlineStr">
        <is>
          <t>Upstream H₂ pressure range</t>
        </is>
      </c>
      <c r="C94" s="262" t="inlineStr">
        <is>
          <t>25 to 1000</t>
        </is>
      </c>
      <c r="D94" s="262" t="inlineStr">
        <is>
          <t>mbar</t>
        </is>
      </c>
      <c r="E94" s="262" t="inlineStr"/>
    </row>
    <row r="95" ht="16" customHeight="1">
      <c r="B95" s="264" t="inlineStr">
        <is>
          <t>H₂ purity</t>
        </is>
      </c>
      <c r="C95" s="264" t="inlineStr">
        <is>
          <t>99.999%</t>
        </is>
      </c>
      <c r="D95" s="264" t="inlineStr">
        <is>
          <t>%</t>
        </is>
      </c>
      <c r="E95" s="15" t="inlineStr">
        <is>
          <t>Messer; further purified by molecular sieves</t>
        </is>
      </c>
    </row>
    <row r="96" ht="16" customHeight="1">
      <c r="B96" s="262" t="inlineStr">
        <is>
          <t>O₂ purity</t>
        </is>
      </c>
      <c r="C96" s="262" t="inlineStr">
        <is>
          <t>99.999%</t>
        </is>
      </c>
      <c r="D96" s="262" t="inlineStr">
        <is>
          <t>%</t>
        </is>
      </c>
      <c r="E96" s="262" t="inlineStr">
        <is>
          <t>Messer</t>
        </is>
      </c>
    </row>
    <row r="97" ht="16" customHeight="1">
      <c r="B97" s="264" t="inlineStr">
        <is>
          <t>Oxidation pressure</t>
        </is>
      </c>
      <c r="C97" s="264" t="inlineStr">
        <is>
          <t>~900</t>
        </is>
      </c>
      <c r="D97" s="264" t="inlineStr">
        <is>
          <t>mbar O₂</t>
        </is>
      </c>
      <c r="E97" s="264" t="inlineStr">
        <is>
          <t>All oxidation cycles</t>
        </is>
      </c>
    </row>
    <row r="98" ht="16" customHeight="1">
      <c r="B98" s="262" t="inlineStr">
        <is>
          <t>Oxidation temperature</t>
        </is>
      </c>
      <c r="C98" s="262" t="inlineStr">
        <is>
          <t>400</t>
        </is>
      </c>
      <c r="D98" s="262" t="inlineStr">
        <is>
          <t>°C</t>
        </is>
      </c>
      <c r="E98" s="262" t="inlineStr">
        <is>
          <t>All oxidation cycles</t>
        </is>
      </c>
    </row>
    <row r="99" ht="16" customHeight="1">
      <c r="B99" s="264" t="inlineStr">
        <is>
          <t>Oxidation durations</t>
        </is>
      </c>
      <c r="C99" s="264" t="inlineStr">
        <is>
          <t>2 or 20</t>
        </is>
      </c>
      <c r="D99" s="264" t="inlineStr">
        <is>
          <t>h</t>
        </is>
      </c>
      <c r="E99" s="264" t="inlineStr"/>
    </row>
    <row r="100" ht="16" customHeight="1">
      <c r="B100" s="262" t="inlineStr">
        <is>
          <t>Background dp/dt at 400°C</t>
        </is>
      </c>
      <c r="C100" s="262" t="inlineStr">
        <is>
          <t>~5 × 10⁻⁹</t>
        </is>
      </c>
      <c r="D100" s="262" t="inlineStr">
        <is>
          <t>mbar/s</t>
        </is>
      </c>
      <c r="E100" s="262" t="inlineStr">
        <is>
          <t>Before measurements started</t>
        </is>
      </c>
    </row>
    <row r="101" ht="16" customHeight="1">
      <c r="B101" s="264" t="inlineStr">
        <is>
          <t>Ultimate detectable j</t>
        </is>
      </c>
      <c r="C101" s="264" t="inlineStr">
        <is>
          <t>~1 × 10⁻¹⁰</t>
        </is>
      </c>
      <c r="D101" s="264" t="inlineStr">
        <is>
          <t>mol H₂/(s·m²)</t>
        </is>
      </c>
      <c r="E101" s="264" t="inlineStr">
        <is>
          <t>At 400°C</t>
        </is>
      </c>
    </row>
    <row r="102" ht="16" customHeight="1">
      <c r="B102" s="262" t="inlineStr">
        <is>
          <t>Gasket material</t>
        </is>
      </c>
      <c r="C102" s="262" t="inlineStr">
        <is>
          <t>Gold</t>
        </is>
      </c>
      <c r="D102" s="262" t="inlineStr">
        <is>
          <t>—</t>
        </is>
      </c>
      <c r="E102" s="262" t="inlineStr">
        <is>
          <t>0.6 mm cross-section</t>
        </is>
      </c>
    </row>
    <row r="103" ht="16" customHeight="1">
      <c r="B103" s="264" t="inlineStr">
        <is>
          <t>He leak threshold</t>
        </is>
      </c>
      <c r="C103" s="264" t="inlineStr">
        <is>
          <t>10⁻¹⁰</t>
        </is>
      </c>
      <c r="D103" s="264" t="inlineStr">
        <is>
          <t>mbar·L/s</t>
        </is>
      </c>
      <c r="E103" s="264" t="inlineStr">
        <is>
          <t>QMS ion current check</t>
        </is>
      </c>
    </row>
    <row r="104" ht="16" customHeight="1">
      <c r="B104" s="262" t="inlineStr">
        <is>
          <t>Initial heating ramp</t>
        </is>
      </c>
      <c r="C104" s="262" t="inlineStr">
        <is>
          <t>linear to 400°C</t>
        </is>
      </c>
      <c r="D104" s="262" t="inlineStr">
        <is>
          <t>—</t>
        </is>
      </c>
      <c r="E104" s="262" t="inlineStr">
        <is>
          <t>Over 4 hours</t>
        </is>
      </c>
    </row>
    <row r="105" ht="16" customHeight="1">
      <c r="B105" s="264" t="inlineStr">
        <is>
          <t>Overnight pumping</t>
        </is>
      </c>
      <c r="C105" s="264" t="inlineStr">
        <is>
          <t>~18</t>
        </is>
      </c>
      <c r="D105" s="264" t="inlineStr">
        <is>
          <t>h</t>
        </is>
      </c>
      <c r="E105" s="264" t="inlineStr">
        <is>
          <t>To suppress background outgassing</t>
        </is>
      </c>
    </row>
    <row r="106" ht="16" customHeight="1">
      <c r="B106" s="262" t="inlineStr">
        <is>
          <t>CM accuracy</t>
        </is>
      </c>
      <c r="C106" s="262" t="inlineStr">
        <is>
          <t>0.5% deviation</t>
        </is>
      </c>
      <c r="D106" s="262" t="inlineStr">
        <is>
          <t>—</t>
        </is>
      </c>
      <c r="E106" s="262" t="inlineStr">
        <is>
          <t>Over 3 orders of magnitude</t>
        </is>
      </c>
    </row>
    <row r="107" ht="16" customHeight="1">
      <c r="B107" s="264" t="inlineStr">
        <is>
          <t>Uncertainty margin</t>
        </is>
      </c>
      <c r="C107" s="264" t="inlineStr">
        <is>
          <t>10%</t>
        </is>
      </c>
      <c r="D107" s="264" t="inlineStr">
        <is>
          <t>%</t>
        </is>
      </c>
      <c r="E107" s="15" t="inlineStr">
        <is>
          <t>Achievable even at low permeation rates</t>
        </is>
      </c>
    </row>
    <row r="108" ht="16" customHeight="1">
      <c r="B108" s="262" t="inlineStr">
        <is>
          <t>Enthalpy Cr₂O₃ formation</t>
        </is>
      </c>
      <c r="C108" s="262" t="inlineStr">
        <is>
          <t>−1134</t>
        </is>
      </c>
      <c r="D108" s="262" t="inlineStr">
        <is>
          <t>kJ/mol</t>
        </is>
      </c>
      <c r="E108" s="262" t="inlineStr">
        <is>
          <t>Stated in Discussion</t>
        </is>
      </c>
    </row>
    <row r="109" ht="8" customHeight="1"/>
    <row r="110" ht="18" customHeight="1">
      <c r="B110" s="158" t="inlineStr">
        <is>
          <t>XPS INSTRUMENT PARAMETERS</t>
        </is>
      </c>
    </row>
    <row r="111" ht="30" customHeight="1">
      <c r="B111" s="28" t="inlineStr">
        <is>
          <t>Parameter</t>
        </is>
      </c>
      <c r="C111" s="28" t="inlineStr">
        <is>
          <t>Value</t>
        </is>
      </c>
      <c r="D111" s="28" t="inlineStr">
        <is>
          <t>Units / Notes</t>
        </is>
      </c>
    </row>
    <row r="112" ht="16" customHeight="1">
      <c r="B112" s="262" t="inlineStr">
        <is>
          <t>Spectrometer</t>
        </is>
      </c>
      <c r="C112" s="262" t="inlineStr">
        <is>
          <t>PHI-TFA XPS</t>
        </is>
      </c>
      <c r="D112" s="262" t="inlineStr"/>
    </row>
    <row r="113" ht="16" customHeight="1">
      <c r="B113" s="264" t="inlineStr">
        <is>
          <t>X-ray source</t>
        </is>
      </c>
      <c r="C113" s="264" t="inlineStr">
        <is>
          <t>Al-monochromatic</t>
        </is>
      </c>
      <c r="D113" s="264" t="inlineStr"/>
    </row>
    <row r="114" ht="16" customHeight="1">
      <c r="B114" s="262" t="inlineStr">
        <is>
          <t>Analysis spot diameter</t>
        </is>
      </c>
      <c r="C114" s="262" t="inlineStr">
        <is>
          <t>400</t>
        </is>
      </c>
      <c r="D114" s="262" t="inlineStr">
        <is>
          <t>μm</t>
        </is>
      </c>
    </row>
    <row r="115" ht="16" customHeight="1">
      <c r="B115" s="264" t="inlineStr">
        <is>
          <t>Survey pass energy</t>
        </is>
      </c>
      <c r="C115" s="264" t="inlineStr">
        <is>
          <t>187</t>
        </is>
      </c>
      <c r="D115" s="264" t="inlineStr">
        <is>
          <t>eV</t>
        </is>
      </c>
    </row>
    <row r="116" ht="16" customHeight="1">
      <c r="B116" s="262" t="inlineStr">
        <is>
          <t>High-resolution pass energy</t>
        </is>
      </c>
      <c r="C116" s="262" t="inlineStr">
        <is>
          <t>29</t>
        </is>
      </c>
      <c r="D116" s="262" t="inlineStr">
        <is>
          <t>eV</t>
        </is>
      </c>
    </row>
    <row r="117" ht="16" customHeight="1">
      <c r="B117" s="264" t="inlineStr">
        <is>
          <t>Energy resolution</t>
        </is>
      </c>
      <c r="C117" s="264" t="inlineStr">
        <is>
          <t>0.6</t>
        </is>
      </c>
      <c r="D117" s="264" t="inlineStr">
        <is>
          <t>eV — measured on Ag 3d5/2</t>
        </is>
      </c>
    </row>
    <row r="118" ht="16" customHeight="1">
      <c r="B118" s="262" t="inlineStr">
        <is>
          <t>Binding energy error</t>
        </is>
      </c>
      <c r="C118" s="262" t="inlineStr">
        <is>
          <t>±0.3</t>
        </is>
      </c>
      <c r="D118" s="262" t="inlineStr">
        <is>
          <t>eV</t>
        </is>
      </c>
    </row>
    <row r="119" ht="16" customHeight="1">
      <c r="B119" s="264" t="inlineStr">
        <is>
          <t>Sputtering beam</t>
        </is>
      </c>
      <c r="C119" s="264" t="inlineStr">
        <is>
          <t>3 keV Ar⁺</t>
        </is>
      </c>
      <c r="D119" s="264" t="inlineStr">
        <is>
          <t>3×3 mm² raster area</t>
        </is>
      </c>
    </row>
    <row r="120" ht="16" customHeight="1">
      <c r="B120" s="262" t="inlineStr">
        <is>
          <t>Sputtering rate reference</t>
        </is>
      </c>
      <c r="C120" s="262" t="inlineStr">
        <is>
          <t>Cr₂O₃ (30 nm) on Cr</t>
        </is>
      </c>
      <c r="D120" s="262" t="inlineStr">
        <is>
          <t>prepared by PVD</t>
        </is>
      </c>
    </row>
    <row r="121" ht="16" customHeight="1">
      <c r="B121" s="264" t="inlineStr">
        <is>
          <t>Software</t>
        </is>
      </c>
      <c r="C121" s="264" t="inlineStr">
        <is>
          <t>Multipak version 9.9</t>
        </is>
      </c>
      <c r="D121" s="264" t="inlineStr"/>
    </row>
    <row r="122" ht="8" customHeight="1"/>
    <row r="123" ht="18" customHeight="1">
      <c r="B123" s="158" t="inlineStr">
        <is>
          <t>SEM INSTRUMENT PARAMETERS</t>
        </is>
      </c>
    </row>
    <row r="124" ht="30" customHeight="1">
      <c r="B124" s="28" t="inlineStr">
        <is>
          <t>Parameter</t>
        </is>
      </c>
      <c r="C124" s="28" t="inlineStr">
        <is>
          <t>Value</t>
        </is>
      </c>
      <c r="D124" s="28" t="inlineStr">
        <is>
          <t>Units / Notes</t>
        </is>
      </c>
    </row>
    <row r="125" ht="16" customHeight="1">
      <c r="B125" s="262" t="inlineStr">
        <is>
          <t>Instrument</t>
        </is>
      </c>
      <c r="C125" s="262" t="inlineStr">
        <is>
          <t>SEM-FIB Helios NanoLab 650i (FEI)</t>
        </is>
      </c>
      <c r="D125" s="262" t="inlineStr">
        <is>
          <t>Dual-beam</t>
        </is>
      </c>
    </row>
    <row r="126" ht="16" customHeight="1">
      <c r="B126" s="264" t="inlineStr">
        <is>
          <t>Accelerating voltage</t>
        </is>
      </c>
      <c r="C126" s="264" t="inlineStr">
        <is>
          <t>2</t>
        </is>
      </c>
      <c r="D126" s="264" t="inlineStr">
        <is>
          <t>kV</t>
        </is>
      </c>
    </row>
    <row r="127" ht="16" customHeight="1">
      <c r="B127" s="262" t="inlineStr">
        <is>
          <t>Beam current</t>
        </is>
      </c>
      <c r="C127" s="262" t="inlineStr">
        <is>
          <t>43</t>
        </is>
      </c>
      <c r="D127" s="262" t="inlineStr">
        <is>
          <t>pA</t>
        </is>
      </c>
    </row>
    <row r="128" ht="16" customHeight="1">
      <c r="B128" s="264" t="inlineStr">
        <is>
          <t>FIB ion source</t>
        </is>
      </c>
      <c r="C128" s="264" t="inlineStr">
        <is>
          <t>Ga at 30 kV</t>
        </is>
      </c>
      <c r="D128" s="264" t="inlineStr"/>
    </row>
    <row r="129" ht="16" customHeight="1">
      <c r="B129" s="262" t="inlineStr">
        <is>
          <t>FIB current range</t>
        </is>
      </c>
      <c r="C129" s="262" t="inlineStr">
        <is>
          <t>2.5 nA → 80 pA</t>
        </is>
      </c>
      <c r="D129" s="19" t="inlineStr">
        <is>
          <t>Step-by-step decrease for final polish</t>
        </is>
      </c>
    </row>
    <row r="130" ht="16" customHeight="1">
      <c r="B130" s="264" t="inlineStr">
        <is>
          <t>Protective layer</t>
        </is>
      </c>
      <c r="C130" s="264" t="inlineStr">
        <is>
          <t>~1 μm Pt</t>
        </is>
      </c>
      <c r="D130" s="15" t="inlineStr">
        <is>
          <t>Local deposition inside SEM-FIB chamber before ion etching</t>
        </is>
      </c>
    </row>
    <row r="131" ht="8" customHeight="1"/>
    <row r="132" ht="18" customHeight="1">
      <c r="B132" s="158" t="inlineStr">
        <is>
          <t>EQUATIONS AS STATED IN PAPER</t>
        </is>
      </c>
    </row>
    <row r="133" ht="28" customHeight="1">
      <c r="B133" s="159" t="inlineStr">
        <is>
          <t>All equations reproduced exactly as printed. Notation: j = permeation rate (mol/m²/s), d = thickness (m), p = pressure (Pa), L = time-lag (s), P = permeability (mol/m/s/Pa⁰·⁵), D = diffusivity (m²/s), subscript B = bulk, f = film, DL = double-layer.</t>
        </is>
      </c>
    </row>
    <row r="134" ht="30" customHeight="1">
      <c r="B134" s="28" t="inlineStr">
        <is>
          <t>Equation no.</t>
        </is>
      </c>
      <c r="C134" s="28" t="inlineStr">
        <is>
          <t>Equation as stated</t>
        </is>
      </c>
      <c r="D134" s="28" t="inlineStr">
        <is>
          <t>Parameter extracted</t>
        </is>
      </c>
      <c r="E134" s="28" t="inlineStr">
        <is>
          <t>Notes</t>
        </is>
      </c>
    </row>
    <row r="135" ht="20" customHeight="1">
      <c r="B135" s="262" t="inlineStr">
        <is>
          <t>Eq. (1)</t>
        </is>
      </c>
      <c r="C135" s="262" t="inlineStr">
        <is>
          <t>PB = jB · dB / √p</t>
        </is>
      </c>
      <c r="D135" s="262" t="inlineStr">
        <is>
          <t>Bulk permeability PB</t>
        </is>
      </c>
      <c r="E135" s="19" t="inlineStr">
        <is>
          <t>Single-layer, steady-state, diffusion-limited</t>
        </is>
      </c>
    </row>
    <row r="136" ht="20" customHeight="1">
      <c r="B136" s="264" t="inlineStr">
        <is>
          <t>Eq. (2)</t>
        </is>
      </c>
      <c r="C136" s="264" t="inlineStr">
        <is>
          <t>DB = dB² / (6 · LB)</t>
        </is>
      </c>
      <c r="D136" s="264" t="inlineStr">
        <is>
          <t>Bulk diffusivity DB</t>
        </is>
      </c>
      <c r="E136" s="264" t="inlineStr">
        <is>
          <t>From time-lag LB</t>
        </is>
      </c>
    </row>
    <row r="137" ht="20" customHeight="1">
      <c r="B137" s="262" t="inlineStr">
        <is>
          <t>Eq. (3)</t>
        </is>
      </c>
      <c r="C137" s="262" t="inlineStr">
        <is>
          <t>PRFDL = juncoat / jcoat</t>
        </is>
      </c>
      <c r="D137" s="262" t="inlineStr">
        <is>
          <t>Permeation Reduction Factor</t>
        </is>
      </c>
      <c r="E137" s="262" t="inlineStr">
        <is>
          <t>Definition</t>
        </is>
      </c>
    </row>
    <row r="138" ht="20" customHeight="1">
      <c r="B138" s="264" t="inlineStr">
        <is>
          <t>Eq. (4)</t>
        </is>
      </c>
      <c r="C138" s="264" t="inlineStr">
        <is>
          <t>PRFDL = 1 + (df · PB) / (dB · Pf)</t>
        </is>
      </c>
      <c r="D138" s="264" t="inlineStr">
        <is>
          <t>Film permeability Pf</t>
        </is>
      </c>
      <c r="E138" s="15" t="inlineStr">
        <is>
          <t>Rearranged to extract Pf once PRFDL and PB known</t>
        </is>
      </c>
    </row>
    <row r="139" ht="20" customHeight="1">
      <c r="B139" s="262" t="inlineStr">
        <is>
          <t>Eq. (5)</t>
        </is>
      </c>
      <c r="C139" s="19" t="inlineStr">
        <is>
          <t>Df = [DB · Deff·(PRF+2)] / [Deff·(2−3PRF)·(dB/df)² + DB·PRF·(1+(dB/df)²)]</t>
        </is>
      </c>
      <c r="D139" s="262" t="inlineStr">
        <is>
          <t>Film diffusivity Df</t>
        </is>
      </c>
      <c r="E139" s="19" t="inlineStr">
        <is>
          <t>Requires DB, PRFDL, Deff. From Ref. [14]</t>
        </is>
      </c>
    </row>
    <row r="140" ht="20" customHeight="1">
      <c r="B140" s="264" t="inlineStr">
        <is>
          <t>Deff def.</t>
        </is>
      </c>
      <c r="C140" s="264" t="inlineStr">
        <is>
          <t>Deff = (dB + df)² / (6 · LDL)</t>
        </is>
      </c>
      <c r="D140" s="15" t="inlineStr">
        <is>
          <t>Effective diffusivity of two-layer membrane</t>
        </is>
      </c>
      <c r="E140" s="15" t="inlineStr">
        <is>
          <t>From time-lag LDL of double-layer membrane</t>
        </is>
      </c>
    </row>
    <row r="141" ht="12" customHeight="1"/>
  </sheetData>
  <mergeCells count="20">
    <mergeCell ref="B65:H65"/>
    <mergeCell ref="B133:H133"/>
    <mergeCell ref="B64:H64"/>
    <mergeCell ref="B33:H33"/>
    <mergeCell ref="B51:H51"/>
    <mergeCell ref="B123:H123"/>
    <mergeCell ref="B32:H32"/>
    <mergeCell ref="B50:H50"/>
    <mergeCell ref="B110:H110"/>
    <mergeCell ref="B4:H4"/>
    <mergeCell ref="B90:H90"/>
    <mergeCell ref="B81:H81"/>
    <mergeCell ref="B22:H22"/>
    <mergeCell ref="B71:H71"/>
    <mergeCell ref="B43:H43"/>
    <mergeCell ref="B2:H2"/>
    <mergeCell ref="B23:H23"/>
    <mergeCell ref="B1:H1"/>
    <mergeCell ref="B132:H132"/>
    <mergeCell ref="B44:H4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I98"/>
  <sheetViews>
    <sheetView showGridLines="0" workbookViewId="0">
      <selection activeCell="A1" sqref="A1"/>
    </sheetView>
  </sheetViews>
  <sheetFormatPr baseColWidth="8" defaultRowHeight="15"/>
  <cols>
    <col width="3" customWidth="1" min="1" max="1"/>
    <col width="22" customWidth="1" min="2" max="2"/>
    <col width="18" customWidth="1" min="3" max="3"/>
    <col width="16" customWidth="1" min="4" max="4"/>
    <col width="16" customWidth="1" min="5" max="5"/>
    <col width="16" customWidth="1" min="6" max="6"/>
    <col width="16" customWidth="1" min="7" max="7"/>
    <col width="16" customWidth="1" min="8" max="8"/>
    <col width="32" customWidth="1" min="9" max="9"/>
  </cols>
  <sheetData>
    <row r="1" ht="26" customHeight="1">
      <c r="B1" s="157" t="inlineStr">
        <is>
          <t>Nemanic 2019 — Raw Data Extraction (Review Paper)</t>
        </is>
      </c>
    </row>
    <row r="2" ht="28" customHeight="1">
      <c r="B2" s="164" t="inlineStr">
        <is>
          <t>Nemanic V. "Hydrogen permeation barriers: Basic requirements, materials selection, deposition methods, and quality evaluation." Nuclear Materials and Energy 19 (2019) 451–457. DOI: 10.1016/j.nme.2019.04.001  |  REVIEW PAPER — no primary experimental data. All numerical values compiled from cited references as listed.</t>
        </is>
      </c>
    </row>
    <row r="3" ht="8" customHeight="1"/>
    <row r="4" ht="18" customHeight="1">
      <c r="B4" s="158" t="inlineStr">
        <is>
          <t>TABLE 1 — Hydrogen Permeability of Selected Metals (as printed)</t>
        </is>
      </c>
    </row>
    <row r="5" ht="28" customHeight="1">
      <c r="B5" s="159" t="inlineStr">
        <is>
          <t>Units: mol H₂/m/s/Pa⁰·⁵  |  All values at specified T from Ref [1] (Jones &amp; Thomas 2007) except W [Ref 9, Frauenfelder 1969 — extrapolated from high-T measurements] and Be [Refs 12–14 — Tazhibaeva 1995, Jones &amp; Gibson 1967, Swansiger 1986].</t>
        </is>
      </c>
    </row>
    <row r="6" ht="30" customHeight="1">
      <c r="B6" s="28" t="inlineStr">
        <is>
          <t>Metal</t>
        </is>
      </c>
      <c r="C6" s="28" t="inlineStr">
        <is>
          <t>P (mol H₂/m/s/Pa⁰·⁵)</t>
        </is>
      </c>
      <c r="D6" s="28" t="inlineStr">
        <is>
          <t>T (°C)</t>
        </is>
      </c>
      <c r="E6" s="28" t="inlineStr">
        <is>
          <t>Reference (in paper)</t>
        </is>
      </c>
      <c r="F6" s="28" t="inlineStr">
        <is>
          <t>Notes</t>
        </is>
      </c>
    </row>
    <row r="7" ht="16" customHeight="1">
      <c r="B7" s="262" t="inlineStr">
        <is>
          <t>Vanadium</t>
        </is>
      </c>
      <c r="C7" s="266" t="n">
        <v>2.9e-08</v>
      </c>
      <c r="D7" s="263" t="n">
        <v>500</v>
      </c>
      <c r="E7" s="262" t="inlineStr">
        <is>
          <t>[1]</t>
        </is>
      </c>
      <c r="F7" s="262" t="inlineStr"/>
    </row>
    <row r="8" ht="16" customHeight="1">
      <c r="B8" s="264" t="inlineStr">
        <is>
          <t>Titanium</t>
        </is>
      </c>
      <c r="C8" s="267" t="n">
        <v>7.499999999999999e-09</v>
      </c>
      <c r="D8" s="265" t="n">
        <v>500</v>
      </c>
      <c r="E8" s="264" t="inlineStr">
        <is>
          <t>[1]</t>
        </is>
      </c>
      <c r="F8" s="264" t="inlineStr"/>
    </row>
    <row r="9" ht="16" customHeight="1">
      <c r="B9" s="262" t="inlineStr">
        <is>
          <t>Nickel</t>
        </is>
      </c>
      <c r="C9" s="266" t="n">
        <v>1.2e-10</v>
      </c>
      <c r="D9" s="263" t="n">
        <v>500</v>
      </c>
      <c r="E9" s="262" t="inlineStr">
        <is>
          <t>[1]</t>
        </is>
      </c>
      <c r="F9" s="262" t="inlineStr"/>
    </row>
    <row r="10" ht="16" customHeight="1">
      <c r="B10" s="264" t="inlineStr">
        <is>
          <t>Ferritic steels</t>
        </is>
      </c>
      <c r="C10" s="267" t="n">
        <v>3e-11</v>
      </c>
      <c r="D10" s="265" t="n">
        <v>500</v>
      </c>
      <c r="E10" s="264" t="inlineStr">
        <is>
          <t>[1]</t>
        </is>
      </c>
      <c r="F10" s="264" t="inlineStr"/>
    </row>
    <row r="11" ht="16" customHeight="1">
      <c r="B11" s="262" t="inlineStr">
        <is>
          <t>Austenitic steels</t>
        </is>
      </c>
      <c r="C11" s="262" t="inlineStr">
        <is>
          <t>0.9–1.2 × 10⁻¹¹</t>
        </is>
      </c>
      <c r="D11" s="263" t="n">
        <v>500</v>
      </c>
      <c r="E11" s="262" t="inlineStr">
        <is>
          <t>[1]</t>
        </is>
      </c>
      <c r="F11" s="262" t="inlineStr">
        <is>
          <t>Range as printed</t>
        </is>
      </c>
    </row>
    <row r="12" ht="16" customHeight="1">
      <c r="B12" s="264" t="inlineStr">
        <is>
          <t>Molybdenum</t>
        </is>
      </c>
      <c r="C12" s="267" t="n">
        <v>1.2e-11</v>
      </c>
      <c r="D12" s="265" t="n">
        <v>500</v>
      </c>
      <c r="E12" s="264" t="inlineStr">
        <is>
          <t>[1]</t>
        </is>
      </c>
      <c r="F12" s="264" t="inlineStr"/>
    </row>
    <row r="13" ht="16" customHeight="1">
      <c r="B13" s="262" t="inlineStr">
        <is>
          <t>Tungsten</t>
        </is>
      </c>
      <c r="C13" s="266" t="n">
        <v>4.3e-15</v>
      </c>
      <c r="D13" s="263" t="n">
        <v>500</v>
      </c>
      <c r="E13" s="262" t="inlineStr">
        <is>
          <t>[9]</t>
        </is>
      </c>
      <c r="F13" s="19" t="inlineStr">
        <is>
          <t>Extrapolated from high-T measurements</t>
        </is>
      </c>
    </row>
    <row r="14" ht="16" customHeight="1">
      <c r="B14" s="264" t="inlineStr">
        <is>
          <t>Beryllium</t>
        </is>
      </c>
      <c r="C14" s="267" t="n">
        <v>2e-15</v>
      </c>
      <c r="D14" s="265" t="n">
        <v>400</v>
      </c>
      <c r="E14" s="264" t="inlineStr">
        <is>
          <t>[12,13,14]</t>
        </is>
      </c>
      <c r="F14" s="264" t="inlineStr">
        <is>
          <t>Scattered published values</t>
        </is>
      </c>
    </row>
    <row r="15" ht="8" customHeight="1"/>
    <row r="16" ht="18" customHeight="1">
      <c r="B16" s="158" t="inlineStr">
        <is>
          <t>TABLE 2 — State-of-the-Art Dielectric HPB Efficiency — Pf at 400°C (as printed)</t>
        </is>
      </c>
    </row>
    <row r="17" ht="35" customHeight="1">
      <c r="B17" s="164" t="inlineStr">
        <is>
          <t>Ps units: × 10⁻¹¹ mol H₂/s/m/Pa⁰·⁵  |  Pf units: × 10⁻¹⁸ mol H₂/s/m/Pa⁰·⁵  |  All Pf values extrapolated to 400°C using Eq. (4) where original data was at higher T.  * Cr₂O₃ film thickness assumed for calculation — not stated in original Ref [31].  Ref numbers refer to Nemanic 2019 reference list.</t>
        </is>
      </c>
    </row>
    <row r="18" ht="30" customHeight="1">
      <c r="B18" s="28" t="inlineStr">
        <is>
          <t>Material</t>
        </is>
      </c>
      <c r="C18" s="28" t="inlineStr">
        <is>
          <t>PRF</t>
        </is>
      </c>
      <c r="D18" s="28" t="inlineStr">
        <is>
          <t>ds (mm)</t>
        </is>
      </c>
      <c r="E18" s="28" t="inlineStr">
        <is>
          <t>df (µm)</t>
        </is>
      </c>
      <c r="F18" s="28" t="inlineStr">
        <is>
          <t>Ps (×10⁻¹¹ mol/m/s/Pa⁰·⁵)</t>
        </is>
      </c>
      <c r="G18" s="28" t="inlineStr">
        <is>
          <t>Pf (×10⁻¹⁸ mol/m/s/Pa⁰·⁵)</t>
        </is>
      </c>
      <c r="H18" s="28" t="inlineStr">
        <is>
          <t>Ref [in paper]</t>
        </is>
      </c>
      <c r="I18" s="28" t="inlineStr">
        <is>
          <t>Notes/deposition</t>
        </is>
      </c>
    </row>
    <row r="19" ht="18" customHeight="1">
      <c r="B19" s="199" t="inlineStr">
        <is>
          <t>Al₂O₃</t>
        </is>
      </c>
      <c r="C19" s="200" t="n">
        <v>1000</v>
      </c>
      <c r="D19" s="201" t="n">
        <v>0.5</v>
      </c>
      <c r="E19" s="199" t="inlineStr">
        <is>
          <t>1</t>
        </is>
      </c>
      <c r="F19" s="201" t="n">
        <v>1.3</v>
      </c>
      <c r="G19" s="201" t="n">
        <v>25.9</v>
      </c>
      <c r="H19" s="199" t="inlineStr">
        <is>
          <t>[29]</t>
        </is>
      </c>
      <c r="I19" s="202" t="inlineStr">
        <is>
          <t>Filtered arc discharge; Eurofer; 800°C test</t>
        </is>
      </c>
    </row>
    <row r="20" ht="18" customHeight="1">
      <c r="B20" s="203" t="inlineStr">
        <is>
          <t>Cr₂O₃</t>
        </is>
      </c>
      <c r="C20" s="204" t="n">
        <v>1000</v>
      </c>
      <c r="D20" s="205" t="n">
        <v>1.6</v>
      </c>
      <c r="E20" s="203" t="inlineStr">
        <is>
          <t>10*</t>
        </is>
      </c>
      <c r="F20" s="205" t="n">
        <v>0.017</v>
      </c>
      <c r="G20" s="205" t="n">
        <v>0.72</v>
      </c>
      <c r="H20" s="203" t="inlineStr">
        <is>
          <t>[31]</t>
        </is>
      </c>
      <c r="I20" s="206" t="inlineStr">
        <is>
          <t>* Thickness assumed. Pure Cr substrate; 700-800°C</t>
        </is>
      </c>
    </row>
    <row r="21" ht="18" customHeight="1">
      <c r="B21" s="203" t="inlineStr">
        <is>
          <t>Cr₂O₃/Al₂O₃</t>
        </is>
      </c>
      <c r="C21" s="204" t="n">
        <v>3500</v>
      </c>
      <c r="D21" s="205" t="n">
        <v>0.5</v>
      </c>
      <c r="E21" s="203" t="inlineStr">
        <is>
          <t>1</t>
        </is>
      </c>
      <c r="F21" s="205" t="n">
        <v>1.3</v>
      </c>
      <c r="G21" s="205" t="n">
        <v>7.41</v>
      </c>
      <c r="H21" s="203" t="inlineStr">
        <is>
          <t>[34]</t>
        </is>
      </c>
      <c r="I21" s="206" t="inlineStr">
        <is>
          <t>Filtered arc discharge; Eurofer; 700°C</t>
        </is>
      </c>
    </row>
    <row r="22" ht="18" customHeight="1">
      <c r="B22" s="264" t="inlineStr">
        <is>
          <t>Er₂O₃</t>
        </is>
      </c>
      <c r="C22" s="265" t="n">
        <v>1000</v>
      </c>
      <c r="D22" s="207" t="n">
        <v>0.5</v>
      </c>
      <c r="E22" s="264" t="inlineStr">
        <is>
          <t>1</t>
        </is>
      </c>
      <c r="F22" s="207" t="n">
        <v>1.3</v>
      </c>
      <c r="G22" s="207" t="n">
        <v>25.9</v>
      </c>
      <c r="H22" s="264" t="inlineStr">
        <is>
          <t>[35]</t>
        </is>
      </c>
      <c r="I22" s="15" t="inlineStr">
        <is>
          <t>Filtered arc discharge; 600-800°C</t>
        </is>
      </c>
    </row>
    <row r="23" ht="18" customHeight="1">
      <c r="B23" s="262" t="inlineStr">
        <is>
          <t>Er₂O₃</t>
        </is>
      </c>
      <c r="C23" s="263" t="n">
        <v>1000</v>
      </c>
      <c r="D23" s="208" t="n">
        <v>0.5</v>
      </c>
      <c r="E23" s="262" t="inlineStr">
        <is>
          <t>1.3</t>
        </is>
      </c>
      <c r="F23" s="208" t="n">
        <v>1.3</v>
      </c>
      <c r="G23" s="208" t="n">
        <v>33.7</v>
      </c>
      <c r="H23" s="262" t="inlineStr">
        <is>
          <t>[36]</t>
        </is>
      </c>
      <c r="I23" s="19" t="inlineStr">
        <is>
          <t>Fe and Er additional coating; 500°C</t>
        </is>
      </c>
    </row>
    <row r="24" ht="18" customHeight="1">
      <c r="B24" s="264" t="inlineStr">
        <is>
          <t>SiO₂</t>
        </is>
      </c>
      <c r="C24" s="265" t="n">
        <v>1</v>
      </c>
      <c r="D24" s="207" t="n">
        <v>0.15</v>
      </c>
      <c r="E24" s="264" t="inlineStr">
        <is>
          <t>0.2</t>
        </is>
      </c>
      <c r="F24" s="207" t="n">
        <v>0.13</v>
      </c>
      <c r="G24" s="265" t="n">
        <v>1711</v>
      </c>
      <c r="H24" s="264" t="inlineStr">
        <is>
          <t>[40]</t>
        </is>
      </c>
      <c r="I24" s="264" t="inlineStr">
        <is>
          <t>Not among promising candidates</t>
        </is>
      </c>
    </row>
    <row r="25" ht="18" customHeight="1">
      <c r="B25" s="262" t="inlineStr">
        <is>
          <t>BN</t>
        </is>
      </c>
      <c r="C25" s="263" t="n">
        <v>100</v>
      </c>
      <c r="D25" s="208" t="n">
        <v>0.1</v>
      </c>
      <c r="E25" s="262" t="inlineStr">
        <is>
          <t>1.5</t>
        </is>
      </c>
      <c r="F25" s="208" t="n">
        <v>0.13</v>
      </c>
      <c r="G25" s="263" t="n">
        <v>193</v>
      </c>
      <c r="H25" s="262" t="inlineStr">
        <is>
          <t>[42]</t>
        </is>
      </c>
      <c r="I25" s="19" t="inlineStr">
        <is>
          <t>Magnetically enhanced plasma ion plating; 300-500°C</t>
        </is>
      </c>
    </row>
    <row r="26" ht="18" customHeight="1">
      <c r="B26" s="264" t="inlineStr">
        <is>
          <t>TiN</t>
        </is>
      </c>
      <c r="C26" s="265" t="n">
        <v>100</v>
      </c>
      <c r="D26" s="207" t="n">
        <v>0.1</v>
      </c>
      <c r="E26" s="264" t="inlineStr">
        <is>
          <t>1.5</t>
        </is>
      </c>
      <c r="F26" s="207" t="n">
        <v>0.13</v>
      </c>
      <c r="G26" s="265" t="n">
        <v>193</v>
      </c>
      <c r="H26" s="264" t="inlineStr">
        <is>
          <t>[42]</t>
        </is>
      </c>
      <c r="I26" s="264" t="inlineStr">
        <is>
          <t>Same technique as BN above</t>
        </is>
      </c>
    </row>
    <row r="27" ht="18" customHeight="1">
      <c r="B27" s="262" t="inlineStr">
        <is>
          <t>TiN</t>
        </is>
      </c>
      <c r="C27" s="263" t="n">
        <v>1100</v>
      </c>
      <c r="D27" s="208" t="n">
        <v>0.35</v>
      </c>
      <c r="E27" s="262" t="inlineStr">
        <is>
          <t>1.7</t>
        </is>
      </c>
      <c r="F27" s="208" t="n">
        <v>0.13</v>
      </c>
      <c r="G27" s="208" t="n">
        <v>5.7</v>
      </c>
      <c r="H27" s="262" t="inlineStr">
        <is>
          <t>[43]</t>
        </is>
      </c>
      <c r="I27" s="262" t="inlineStr">
        <is>
          <t>Magnetron sputtering; 550°C</t>
        </is>
      </c>
    </row>
    <row r="28" ht="18" customHeight="1">
      <c r="B28" s="264" t="inlineStr">
        <is>
          <t>TiN</t>
        </is>
      </c>
      <c r="C28" s="265" t="n">
        <v>1000</v>
      </c>
      <c r="D28" s="207" t="n">
        <v>0.1</v>
      </c>
      <c r="E28" s="264" t="inlineStr">
        <is>
          <t>1.7</t>
        </is>
      </c>
      <c r="F28" s="207" t="n">
        <v>0.13</v>
      </c>
      <c r="G28" s="207" t="n">
        <v>21.8</v>
      </c>
      <c r="H28" s="264" t="inlineStr">
        <is>
          <t>[43]</t>
        </is>
      </c>
      <c r="I28" s="264" t="inlineStr"/>
    </row>
    <row r="29" ht="18" customHeight="1">
      <c r="B29" s="216" t="inlineStr">
        <is>
          <t>TiAlN</t>
        </is>
      </c>
      <c r="C29" s="241" t="n">
        <v>6800</v>
      </c>
      <c r="D29" s="211" t="n">
        <v>0.35</v>
      </c>
      <c r="E29" s="216" t="inlineStr">
        <is>
          <t>1.7</t>
        </is>
      </c>
      <c r="F29" s="211" t="n">
        <v>0.13</v>
      </c>
      <c r="G29" s="211" t="n">
        <v>0.92</v>
      </c>
      <c r="H29" s="216" t="inlineStr">
        <is>
          <t>[44]</t>
        </is>
      </c>
      <c r="I29" s="216" t="inlineStr">
        <is>
          <t>Al/Ti = 40/60; best ratio</t>
        </is>
      </c>
    </row>
    <row r="30" ht="18" customHeight="1">
      <c r="B30" s="216" t="inlineStr">
        <is>
          <t>TiAlN</t>
        </is>
      </c>
      <c r="C30" s="241" t="n">
        <v>20000</v>
      </c>
      <c r="D30" s="211" t="n">
        <v>0.5</v>
      </c>
      <c r="E30" s="216" t="inlineStr">
        <is>
          <t>5</t>
        </is>
      </c>
      <c r="F30" s="211" t="n">
        <v>1.3</v>
      </c>
      <c r="G30" s="211" t="n">
        <v>6.5</v>
      </c>
      <c r="H30" s="216" t="inlineStr">
        <is>
          <t>[45]</t>
        </is>
      </c>
      <c r="I30" s="132" t="inlineStr">
        <is>
          <t>Initial; reduced to PRF~5800 after 10 days</t>
        </is>
      </c>
    </row>
    <row r="31" ht="18" customHeight="1">
      <c r="B31" s="262" t="inlineStr">
        <is>
          <t>SiN</t>
        </is>
      </c>
      <c r="C31" s="263" t="n">
        <v>2000</v>
      </c>
      <c r="D31" s="208" t="n">
        <v>0.5</v>
      </c>
      <c r="E31" s="262" t="inlineStr">
        <is>
          <t>0.5</t>
        </is>
      </c>
      <c r="F31" s="208" t="n">
        <v>1.3</v>
      </c>
      <c r="G31" s="208" t="n">
        <v>6.5</v>
      </c>
      <c r="H31" s="262" t="inlineStr">
        <is>
          <t>[25]</t>
        </is>
      </c>
      <c r="I31" s="19" t="inlineStr">
        <is>
          <t>Magnetron sputtering; 400°C; H content dependent</t>
        </is>
      </c>
    </row>
    <row r="32" ht="18" customHeight="1">
      <c r="B32" s="264" t="inlineStr">
        <is>
          <t>WN</t>
        </is>
      </c>
      <c r="C32" s="265" t="n">
        <v>38</v>
      </c>
      <c r="D32" s="207" t="n">
        <v>0.5</v>
      </c>
      <c r="E32" s="264" t="inlineStr">
        <is>
          <t>2.3</t>
        </is>
      </c>
      <c r="F32" s="207" t="n">
        <v>1.3</v>
      </c>
      <c r="G32" s="265" t="n">
        <v>1570</v>
      </c>
      <c r="H32" s="264" t="inlineStr">
        <is>
          <t>[48]</t>
        </is>
      </c>
      <c r="I32" s="264" t="inlineStr">
        <is>
          <t>PVD; 400°C</t>
        </is>
      </c>
    </row>
    <row r="33" ht="18" customHeight="1">
      <c r="B33" s="262" t="inlineStr">
        <is>
          <t>CrWN</t>
        </is>
      </c>
      <c r="C33" s="263" t="n">
        <v>100</v>
      </c>
      <c r="D33" s="208" t="n">
        <v>0.5</v>
      </c>
      <c r="E33" s="262" t="inlineStr">
        <is>
          <t>4.4</t>
        </is>
      </c>
      <c r="F33" s="208" t="n">
        <v>1.3</v>
      </c>
      <c r="G33" s="263" t="n">
        <v>1140</v>
      </c>
      <c r="H33" s="262" t="inlineStr">
        <is>
          <t>[48]</t>
        </is>
      </c>
      <c r="I33" s="262" t="inlineStr">
        <is>
          <t>PVD; 400°C</t>
        </is>
      </c>
    </row>
    <row r="34" ht="18" customHeight="1">
      <c r="B34" s="264" t="inlineStr">
        <is>
          <t>CrN</t>
        </is>
      </c>
      <c r="C34" s="265" t="n">
        <v>117</v>
      </c>
      <c r="D34" s="207" t="n">
        <v>0.5</v>
      </c>
      <c r="E34" s="264" t="inlineStr">
        <is>
          <t>2.6</t>
        </is>
      </c>
      <c r="F34" s="207" t="n">
        <v>1.3</v>
      </c>
      <c r="G34" s="265" t="n">
        <v>576</v>
      </c>
      <c r="H34" s="264" t="inlineStr">
        <is>
          <t>[48]</t>
        </is>
      </c>
      <c r="I34" s="264" t="inlineStr">
        <is>
          <t>PVD; 400°C</t>
        </is>
      </c>
    </row>
    <row r="35" ht="18" customHeight="1">
      <c r="B35" s="262" t="inlineStr">
        <is>
          <t>Cr₂N</t>
        </is>
      </c>
      <c r="C35" s="263" t="n">
        <v>236</v>
      </c>
      <c r="D35" s="208" t="n">
        <v>0.5</v>
      </c>
      <c r="E35" s="262" t="inlineStr">
        <is>
          <t>2.2</t>
        </is>
      </c>
      <c r="F35" s="208" t="n">
        <v>1.3</v>
      </c>
      <c r="G35" s="263" t="n">
        <v>241</v>
      </c>
      <c r="H35" s="262" t="inlineStr">
        <is>
          <t>[48]</t>
        </is>
      </c>
      <c r="I35" s="262" t="inlineStr">
        <is>
          <t>PVD; 400°C</t>
        </is>
      </c>
    </row>
    <row r="36" ht="18" customHeight="1">
      <c r="B36" s="264" t="inlineStr">
        <is>
          <t>AlCrN</t>
        </is>
      </c>
      <c r="C36" s="265" t="n">
        <v>350</v>
      </c>
      <c r="D36" s="207" t="n">
        <v>0.5</v>
      </c>
      <c r="E36" s="264" t="inlineStr">
        <is>
          <t>4.5</t>
        </is>
      </c>
      <c r="F36" s="207" t="n">
        <v>1.3</v>
      </c>
      <c r="G36" s="265" t="n">
        <v>333</v>
      </c>
      <c r="H36" s="264" t="inlineStr">
        <is>
          <t>[48]</t>
        </is>
      </c>
      <c r="I36" s="264" t="inlineStr">
        <is>
          <t>PVD; 400°C</t>
        </is>
      </c>
    </row>
    <row r="37" ht="18" customHeight="1">
      <c r="B37" s="216" t="inlineStr">
        <is>
          <t>ZrN</t>
        </is>
      </c>
      <c r="C37" s="241" t="n">
        <v>4600</v>
      </c>
      <c r="D37" s="211" t="n">
        <v>0.5</v>
      </c>
      <c r="E37" s="216" t="inlineStr">
        <is>
          <t>1.4</t>
        </is>
      </c>
      <c r="F37" s="211" t="n">
        <v>1.3</v>
      </c>
      <c r="G37" s="211" t="n">
        <v>7.9</v>
      </c>
      <c r="H37" s="216" t="inlineStr">
        <is>
          <t>[48]</t>
        </is>
      </c>
      <c r="I37" s="132" t="inlineStr">
        <is>
          <t>PVD; 400°C — best in nitride group</t>
        </is>
      </c>
    </row>
    <row r="38" ht="18" customHeight="1">
      <c r="B38" s="264" t="inlineStr">
        <is>
          <t>TiC</t>
        </is>
      </c>
      <c r="C38" s="265" t="n">
        <v>10</v>
      </c>
      <c r="D38" s="207" t="n">
        <v>0.1</v>
      </c>
      <c r="E38" s="264" t="inlineStr">
        <is>
          <t>1</t>
        </is>
      </c>
      <c r="F38" s="207" t="n">
        <v>0.27</v>
      </c>
      <c r="G38" s="265" t="n">
        <v>2750</v>
      </c>
      <c r="H38" s="264" t="inlineStr">
        <is>
          <t>[52]</t>
        </is>
      </c>
      <c r="I38" s="15" t="inlineStr">
        <is>
          <t>CVD; Mo alloy and austenitic SS; 400°C</t>
        </is>
      </c>
    </row>
    <row r="39" ht="18" customHeight="1">
      <c r="B39" s="262" t="inlineStr">
        <is>
          <t>TiN+TiC</t>
        </is>
      </c>
      <c r="C39" s="263" t="n">
        <v>100</v>
      </c>
      <c r="D39" s="208" t="n">
        <v>0.5</v>
      </c>
      <c r="E39" s="262" t="inlineStr">
        <is>
          <t>1+0.25</t>
        </is>
      </c>
      <c r="F39" s="208" t="n">
        <v>1.3</v>
      </c>
      <c r="G39" s="263" t="n">
        <v>324</v>
      </c>
      <c r="H39" s="262" t="inlineStr">
        <is>
          <t>[53]</t>
        </is>
      </c>
      <c r="I39" s="19" t="inlineStr">
        <is>
          <t>IBAD; H-facing side only; downstream much lower</t>
        </is>
      </c>
    </row>
    <row r="40" ht="8" customHeight="1"/>
    <row r="41" ht="18" customHeight="1">
      <c r="B41" s="158" t="inlineStr">
        <is>
          <t>EQUATIONS AS STATED IN PAPER</t>
        </is>
      </c>
    </row>
    <row r="42" ht="26" customHeight="1">
      <c r="B42" s="159" t="inlineStr">
        <is>
          <t>Notation: j=permeation rate, d=thickness, P=permeability, D=diffusivity, K=solubility, L=time-lag. Subscripts: s=substrate, f=film, eff=effective. r₀=pinhole radius, n=areal density of pinholes, θ=fraction of exposed substrate.</t>
        </is>
      </c>
    </row>
    <row r="43" ht="30" customHeight="1">
      <c r="B43" s="28" t="inlineStr">
        <is>
          <t>Eq.</t>
        </is>
      </c>
      <c r="C43" s="28" t="inlineStr">
        <is>
          <t>Equation as stated</t>
        </is>
      </c>
      <c r="D43" s="28" t="inlineStr">
        <is>
          <t>Applies to</t>
        </is>
      </c>
      <c r="E43" s="28" t="inlineStr">
        <is>
          <t>Validity condition</t>
        </is>
      </c>
    </row>
    <row r="44" ht="20" customHeight="1">
      <c r="B44" s="262" t="inlineStr">
        <is>
          <t>Eq. (1)</t>
        </is>
      </c>
      <c r="C44" s="262" t="inlineStr">
        <is>
          <t>PRF = j_uncoated / j_coated</t>
        </is>
      </c>
      <c r="D44" s="262" t="inlineStr">
        <is>
          <t>Definition of PRF</t>
        </is>
      </c>
      <c r="E44" s="262" t="inlineStr">
        <is>
          <t>General</t>
        </is>
      </c>
    </row>
    <row r="45" ht="20" customHeight="1">
      <c r="B45" s="264" t="inlineStr">
        <is>
          <t>Eq. (2)</t>
        </is>
      </c>
      <c r="C45" s="264" t="inlineStr">
        <is>
          <t>(ds+df)/Peff = ds/Ps + df/Pf</t>
        </is>
      </c>
      <c r="D45" s="15" t="inlineStr">
        <is>
          <t>Effective permeability, double layer</t>
        </is>
      </c>
      <c r="E45" s="15" t="inlineStr">
        <is>
          <t>DLR — diffusion limited both layers</t>
        </is>
      </c>
    </row>
    <row r="46" ht="20" customHeight="1">
      <c r="B46" s="262" t="inlineStr">
        <is>
          <t>Eq. (3)</t>
        </is>
      </c>
      <c r="C46" s="262" t="inlineStr">
        <is>
          <t>PRF = 1 + df·Ps/(ds·Pf)</t>
        </is>
      </c>
      <c r="D46" s="262" t="inlineStr">
        <is>
          <t>Extract Pf from PRF</t>
        </is>
      </c>
      <c r="E46" s="262" t="inlineStr">
        <is>
          <t>DLR</t>
        </is>
      </c>
    </row>
    <row r="47" ht="20" customHeight="1">
      <c r="B47" s="264" t="inlineStr">
        <is>
          <t>Eq. (4)</t>
        </is>
      </c>
      <c r="C47" s="264" t="inlineStr">
        <is>
          <t>Pf ≈ df·Ps/(ds·PRF)</t>
        </is>
      </c>
      <c r="D47" s="264" t="inlineStr">
        <is>
          <t>Simplified extraction of Pf</t>
        </is>
      </c>
      <c r="E47" s="264" t="inlineStr">
        <is>
          <t>PRF &gt;&gt; 1</t>
        </is>
      </c>
    </row>
    <row r="48" ht="20" customHeight="1">
      <c r="B48" s="262" t="inlineStr">
        <is>
          <t>Eq. (5)</t>
        </is>
      </c>
      <c r="C48" s="19" t="inlineStr">
        <is>
          <t>Deff/Ds = (1+ds/df)² / [Ds/Df + 3(ds/df)²]</t>
        </is>
      </c>
      <c r="D48" s="262" t="inlineStr">
        <is>
          <t>Extract Df from time-lag</t>
        </is>
      </c>
      <c r="E48" s="262" t="inlineStr">
        <is>
          <t>PRF &gt;&gt; 1</t>
        </is>
      </c>
    </row>
    <row r="49" ht="20" customHeight="1">
      <c r="B49" s="264" t="inlineStr">
        <is>
          <t>Eq. (6)</t>
        </is>
      </c>
      <c r="C49" s="15" t="inlineStr">
        <is>
          <t>PRF = πφ(ds/r₀)·r₀/(4θ·ds) = φ(ds/r₀)/(4n·r₀·ds)</t>
        </is>
      </c>
      <c r="D49" s="264" t="inlineStr">
        <is>
          <t>Pinhole defect model</t>
        </is>
      </c>
      <c r="E49" s="264" t="inlineStr">
        <is>
          <t>r₀ &lt;&lt; ds; independent pinholes</t>
        </is>
      </c>
    </row>
    <row r="50" ht="8" customHeight="1"/>
    <row r="51" ht="18" customHeight="1">
      <c r="B51" s="158" t="inlineStr">
        <is>
          <t>KEY QUANTITATIVE STATEMENTS FROM TEXT (with reference numbers)</t>
        </is>
      </c>
    </row>
    <row r="52" ht="30" customHeight="1">
      <c r="B52" s="28" t="inlineStr">
        <is>
          <t>Topic</t>
        </is>
      </c>
      <c r="C52" s="28" t="inlineStr">
        <is>
          <t>Value / Range</t>
        </is>
      </c>
      <c r="D52" s="28" t="inlineStr">
        <is>
          <t>Condition / Notes</t>
        </is>
      </c>
      <c r="E52" s="28" t="inlineStr">
        <is>
          <t>Ref in paper</t>
        </is>
      </c>
    </row>
    <row r="53" ht="18" customHeight="1">
      <c r="B53" s="262" t="inlineStr">
        <is>
          <t>Tritium decay half-life</t>
        </is>
      </c>
      <c r="C53" s="262" t="inlineStr">
        <is>
          <t>12.3 years</t>
        </is>
      </c>
      <c r="D53" s="262" t="inlineStr">
        <is>
          <t>—</t>
        </is>
      </c>
      <c r="E53" s="262" t="inlineStr">
        <is>
          <t>—</t>
        </is>
      </c>
    </row>
    <row r="54" ht="18" customHeight="1">
      <c r="B54" s="264" t="inlineStr">
        <is>
          <t>Typical sample area</t>
        </is>
      </c>
      <c r="C54" s="264" t="inlineStr">
        <is>
          <t>5 to 10 cm²</t>
        </is>
      </c>
      <c r="D54" s="15" t="inlineStr">
        <is>
          <t>Compromise: sealing vs sensitivity</t>
        </is>
      </c>
      <c r="E54" s="264" t="inlineStr">
        <is>
          <t>[54]</t>
        </is>
      </c>
    </row>
    <row r="55" ht="18" customHeight="1">
      <c r="B55" s="262" t="inlineStr">
        <is>
          <t>Max detectable PRF (static)</t>
        </is>
      </c>
      <c r="C55" s="262" t="inlineStr">
        <is>
          <t>~10⁵</t>
        </is>
      </c>
      <c r="D55" s="19" t="inlineStr">
        <is>
          <t>~10 cm² area, martensitic substrate, 400°C</t>
        </is>
      </c>
      <c r="E55" s="262" t="inlineStr">
        <is>
          <t>[54]</t>
        </is>
      </c>
    </row>
    <row r="56" ht="18" customHeight="1">
      <c r="B56" s="264" t="inlineStr">
        <is>
          <t>Al₂O₃ PRF</t>
        </is>
      </c>
      <c r="C56" s="264" t="inlineStr">
        <is>
          <t>~1000</t>
        </is>
      </c>
      <c r="D56" s="15" t="inlineStr">
        <is>
          <t>1 µm on 0.5 mm Eurofer, 800°C, filtered arc discharge</t>
        </is>
      </c>
      <c r="E56" s="264" t="inlineStr">
        <is>
          <t>[29]</t>
        </is>
      </c>
    </row>
    <row r="57" ht="18" customHeight="1">
      <c r="B57" s="262" t="inlineStr">
        <is>
          <t>Cr₂O₃ PRF (on pure Cr)</t>
        </is>
      </c>
      <c r="C57" s="262" t="inlineStr">
        <is>
          <t>~1000</t>
        </is>
      </c>
      <c r="D57" s="19" t="inlineStr">
        <is>
          <t>700 and 800°C, pure Cr substrate</t>
        </is>
      </c>
      <c r="E57" s="262" t="inlineStr">
        <is>
          <t>[31]</t>
        </is>
      </c>
    </row>
    <row r="58" ht="18" customHeight="1">
      <c r="B58" s="264" t="inlineStr">
        <is>
          <t>Cr₂O₃/Al₂O₃ PRF</t>
        </is>
      </c>
      <c r="C58" s="264" t="inlineStr">
        <is>
          <t>2000–3500</t>
        </is>
      </c>
      <c r="D58" s="15" t="inlineStr">
        <is>
          <t>Few µm on Eurofer, filtered arc discharge, 700°C</t>
        </is>
      </c>
      <c r="E58" s="264" t="inlineStr">
        <is>
          <t>[34]</t>
        </is>
      </c>
    </row>
    <row r="59" ht="18" customHeight="1">
      <c r="B59" s="262" t="inlineStr">
        <is>
          <t>Er₂O₃ PRF</t>
        </is>
      </c>
      <c r="C59" s="262" t="inlineStr">
        <is>
          <t>~800–1000</t>
        </is>
      </c>
      <c r="D59" s="19" t="inlineStr">
        <is>
          <t>1 µm, 600–800°C, filtered arc discharge</t>
        </is>
      </c>
      <c r="E59" s="262" t="inlineStr">
        <is>
          <t>[35]</t>
        </is>
      </c>
    </row>
    <row r="60" ht="18" customHeight="1">
      <c r="B60" s="264" t="inlineStr">
        <is>
          <t>Er₂O₃ PRF (Fe+Er coated)</t>
        </is>
      </c>
      <c r="C60" s="264" t="inlineStr">
        <is>
          <t>~1000</t>
        </is>
      </c>
      <c r="D60" s="264" t="inlineStr">
        <is>
          <t>1.3 µm, 500°C</t>
        </is>
      </c>
      <c r="E60" s="264" t="inlineStr">
        <is>
          <t>[36-38]</t>
        </is>
      </c>
    </row>
    <row r="61" ht="18" customHeight="1">
      <c r="B61" s="262" t="inlineStr">
        <is>
          <t>BN PRF</t>
        </is>
      </c>
      <c r="C61" s="262" t="inlineStr">
        <is>
          <t>~100</t>
        </is>
      </c>
      <c r="D61" s="262" t="inlineStr">
        <is>
          <t>1.5 µm on 0.1 mm SS, 300–500°C</t>
        </is>
      </c>
      <c r="E61" s="262" t="inlineStr">
        <is>
          <t>[42]</t>
        </is>
      </c>
    </row>
    <row r="62" ht="18" customHeight="1">
      <c r="B62" s="264" t="inlineStr">
        <is>
          <t>TiN PRF (plasma ion plating)</t>
        </is>
      </c>
      <c r="C62" s="264" t="inlineStr">
        <is>
          <t>~100</t>
        </is>
      </c>
      <c r="D62" s="264" t="inlineStr">
        <is>
          <t>1.5 µm, 500°C</t>
        </is>
      </c>
      <c r="E62" s="264" t="inlineStr">
        <is>
          <t>[43]</t>
        </is>
      </c>
    </row>
    <row r="63" ht="18" customHeight="1">
      <c r="B63" s="262" t="inlineStr">
        <is>
          <t>TiN PRF (magnetron sputtering)</t>
        </is>
      </c>
      <c r="C63" s="262" t="inlineStr">
        <is>
          <t>~1100</t>
        </is>
      </c>
      <c r="D63" s="262" t="inlineStr">
        <is>
          <t>1 µm, 550°C</t>
        </is>
      </c>
      <c r="E63" s="262" t="inlineStr">
        <is>
          <t>[43]</t>
        </is>
      </c>
    </row>
    <row r="64" ht="18" customHeight="1">
      <c r="B64" s="264" t="inlineStr">
        <is>
          <t>TiAlN highest PRF</t>
        </is>
      </c>
      <c r="C64" s="264" t="inlineStr">
        <is>
          <t>~6800</t>
        </is>
      </c>
      <c r="D64" s="264" t="inlineStr">
        <is>
          <t>Al/Ti = 40/60</t>
        </is>
      </c>
      <c r="E64" s="264" t="inlineStr">
        <is>
          <t>[44]</t>
        </is>
      </c>
    </row>
    <row r="65" ht="18" customHeight="1">
      <c r="B65" s="262" t="inlineStr">
        <is>
          <t>TiAlN PRF range</t>
        </is>
      </c>
      <c r="C65" s="262" t="inlineStr">
        <is>
          <t>~100–1000</t>
        </is>
      </c>
      <c r="D65" s="262" t="inlineStr">
        <is>
          <t>500–600°C</t>
        </is>
      </c>
      <c r="E65" s="262" t="inlineStr">
        <is>
          <t>[44]</t>
        </is>
      </c>
    </row>
    <row r="66" ht="18" customHeight="1">
      <c r="B66" s="264" t="inlineStr">
        <is>
          <t>TiAlN initial → after 10 days</t>
        </is>
      </c>
      <c r="C66" s="264" t="inlineStr">
        <is>
          <t>~13300–20000 → ~5800</t>
        </is>
      </c>
      <c r="D66" s="264" t="inlineStr">
        <is>
          <t>400°C; degradation unexplained</t>
        </is>
      </c>
      <c r="E66" s="264" t="inlineStr">
        <is>
          <t>[45]</t>
        </is>
      </c>
    </row>
    <row r="67" ht="18" customHeight="1">
      <c r="B67" s="262" t="inlineStr">
        <is>
          <t>SiN PRF</t>
        </is>
      </c>
      <c r="C67" s="262" t="inlineStr">
        <is>
          <t>~2000</t>
        </is>
      </c>
      <c r="D67" s="262" t="inlineStr">
        <is>
          <t>400°C, 500 and 700 nm films</t>
        </is>
      </c>
      <c r="E67" s="262" t="inlineStr">
        <is>
          <t>[25]</t>
        </is>
      </c>
    </row>
    <row r="68" ht="18" customHeight="1">
      <c r="B68" s="264" t="inlineStr">
        <is>
          <t>Nitride group PRF range</t>
        </is>
      </c>
      <c r="C68" s="264" t="inlineStr">
        <is>
          <t>38–4600</t>
        </is>
      </c>
      <c r="D68" s="264" t="inlineStr">
        <is>
          <t>400°C, 1.4–4.5 µm, PVD</t>
        </is>
      </c>
      <c r="E68" s="264" t="inlineStr">
        <is>
          <t>[48]</t>
        </is>
      </c>
    </row>
    <row r="69" ht="18" customHeight="1">
      <c r="B69" s="262" t="inlineStr">
        <is>
          <t>TiC PRF</t>
        </is>
      </c>
      <c r="C69" s="262" t="inlineStr">
        <is>
          <t>~10</t>
        </is>
      </c>
      <c r="D69" s="262" t="inlineStr">
        <is>
          <t>400°C, 1 µm CVD</t>
        </is>
      </c>
      <c r="E69" s="262" t="inlineStr">
        <is>
          <t>[52]</t>
        </is>
      </c>
    </row>
    <row r="70" ht="18" customHeight="1">
      <c r="B70" s="264" t="inlineStr">
        <is>
          <t>TiN+TiC sandwich PRF</t>
        </is>
      </c>
      <c r="C70" s="264" t="inlineStr">
        <is>
          <t>~100 (H-side)</t>
        </is>
      </c>
      <c r="D70" s="15" t="inlineStr">
        <is>
          <t>Substantially lower downstream side</t>
        </is>
      </c>
      <c r="E70" s="264" t="inlineStr">
        <is>
          <t>[53]</t>
        </is>
      </c>
    </row>
    <row r="71" ht="18" customHeight="1">
      <c r="B71" s="262" t="inlineStr">
        <is>
          <t>SiC — no HPB PRF reported</t>
        </is>
      </c>
      <c r="C71" s="262" t="inlineStr">
        <is>
          <t>—</t>
        </is>
      </c>
      <c r="D71" s="262" t="inlineStr">
        <is>
          <t>D and K measured up to 1600°C</t>
        </is>
      </c>
      <c r="E71" s="262" t="inlineStr">
        <is>
          <t>[49-51]</t>
        </is>
      </c>
    </row>
    <row r="72" ht="18" customHeight="1">
      <c r="B72" s="15" t="inlineStr">
        <is>
          <t>Tungsten — single vacancy capacity</t>
        </is>
      </c>
      <c r="C72" s="264" t="inlineStr">
        <is>
          <t>6–12 H atoms</t>
        </is>
      </c>
      <c r="D72" s="264" t="inlineStr">
        <is>
          <t>New theoretical models</t>
        </is>
      </c>
      <c r="E72" s="264" t="inlineStr">
        <is>
          <t>[21,22]</t>
        </is>
      </c>
    </row>
    <row r="73" ht="8" customHeight="1"/>
    <row r="74" ht="18" customHeight="1">
      <c r="B74" s="158" t="inlineStr">
        <is>
          <t>REFERENCE INDEX — entries providing numerical data used in Tables 1 and 2</t>
        </is>
      </c>
    </row>
    <row r="75" ht="30" customHeight="1">
      <c r="B75" s="28" t="inlineStr">
        <is>
          <t>Ref [N]</t>
        </is>
      </c>
      <c r="C75" s="28" t="inlineStr">
        <is>
          <t>Authors</t>
        </is>
      </c>
      <c r="D75" s="28" t="inlineStr">
        <is>
          <t>Journal / Book</t>
        </is>
      </c>
      <c r="E75" s="28" t="inlineStr">
        <is>
          <t>Year</t>
        </is>
      </c>
      <c r="F75" s="28" t="inlineStr">
        <is>
          <t>Data contributed</t>
        </is>
      </c>
    </row>
    <row r="76" ht="18" customHeight="1">
      <c r="B76" s="262" t="inlineStr">
        <is>
          <t>[1]</t>
        </is>
      </c>
      <c r="C76" s="262" t="inlineStr">
        <is>
          <t>Jones RH, Thomas GJ</t>
        </is>
      </c>
      <c r="D76" s="19" t="inlineStr">
        <is>
          <t>Materials for the Hydrogen Economy, CRC</t>
        </is>
      </c>
      <c r="E76" s="262" t="inlineStr">
        <is>
          <t>2007</t>
        </is>
      </c>
      <c r="F76" s="19" t="inlineStr">
        <is>
          <t>Table 1 metal P values (all except W, Be)</t>
        </is>
      </c>
    </row>
    <row r="77" ht="18" customHeight="1">
      <c r="B77" s="264" t="inlineStr">
        <is>
          <t>[9]</t>
        </is>
      </c>
      <c r="C77" s="264" t="inlineStr">
        <is>
          <t>Frauenfelder R</t>
        </is>
      </c>
      <c r="D77" s="264" t="inlineStr">
        <is>
          <t>J. Vac. Sci. Technol. 6, 388</t>
        </is>
      </c>
      <c r="E77" s="264" t="inlineStr">
        <is>
          <t>1969</t>
        </is>
      </c>
      <c r="F77" s="15" t="inlineStr">
        <is>
          <t>Tungsten P (Table 1) — extrapolated from high-T</t>
        </is>
      </c>
    </row>
    <row r="78" ht="18" customHeight="1">
      <c r="B78" s="262" t="inlineStr">
        <is>
          <t>[12]</t>
        </is>
      </c>
      <c r="C78" s="262" t="inlineStr">
        <is>
          <t>Tazhibaeva et al.</t>
        </is>
      </c>
      <c r="D78" s="262" t="inlineStr">
        <is>
          <t>Fusion Technol. 28, 1290</t>
        </is>
      </c>
      <c r="E78" s="262" t="inlineStr">
        <is>
          <t>1995</t>
        </is>
      </c>
      <c r="F78" s="262" t="inlineStr">
        <is>
          <t>Beryllium P (Table 1)</t>
        </is>
      </c>
    </row>
    <row r="79" ht="18" customHeight="1">
      <c r="B79" s="264" t="inlineStr">
        <is>
          <t>[13]</t>
        </is>
      </c>
      <c r="C79" s="264" t="inlineStr">
        <is>
          <t>Jones PM, Gibson R</t>
        </is>
      </c>
      <c r="D79" s="264" t="inlineStr">
        <is>
          <t>J. Nucl. Mater. 21, 353</t>
        </is>
      </c>
      <c r="E79" s="264" t="inlineStr">
        <is>
          <t>1967</t>
        </is>
      </c>
      <c r="F79" s="264" t="inlineStr">
        <is>
          <t>Beryllium P (Table 1)</t>
        </is>
      </c>
    </row>
    <row r="80" ht="18" customHeight="1">
      <c r="B80" s="262" t="inlineStr">
        <is>
          <t>[14]</t>
        </is>
      </c>
      <c r="C80" s="262" t="inlineStr">
        <is>
          <t>Swansiger WA</t>
        </is>
      </c>
      <c r="D80" s="19" t="inlineStr">
        <is>
          <t>J. Vac. Sci. Technol. A 4, 1216</t>
        </is>
      </c>
      <c r="E80" s="262" t="inlineStr">
        <is>
          <t>1986</t>
        </is>
      </c>
      <c r="F80" s="262" t="inlineStr">
        <is>
          <t>Beryllium P (Table 1)</t>
        </is>
      </c>
    </row>
    <row r="81" ht="18" customHeight="1">
      <c r="B81" s="264" t="inlineStr">
        <is>
          <t>[25]</t>
        </is>
      </c>
      <c r="C81" s="264" t="inlineStr">
        <is>
          <t>Nemanic et al.</t>
        </is>
      </c>
      <c r="D81" s="264" t="inlineStr">
        <is>
          <t>J. Alloys Compd. 539, 184</t>
        </is>
      </c>
      <c r="E81" s="264" t="inlineStr">
        <is>
          <t>2012</t>
        </is>
      </c>
      <c r="F81" s="264" t="inlineStr">
        <is>
          <t>SiN PRF 2000 (Table 2)</t>
        </is>
      </c>
    </row>
    <row r="82" ht="18" customHeight="1">
      <c r="B82" s="262" t="inlineStr">
        <is>
          <t>[26]</t>
        </is>
      </c>
      <c r="C82" s="262" t="inlineStr">
        <is>
          <t>Hollenberg et al.</t>
        </is>
      </c>
      <c r="D82" s="262" t="inlineStr">
        <is>
          <t>Fusion Eng. Des. 28, 190</t>
        </is>
      </c>
      <c r="E82" s="262" t="inlineStr">
        <is>
          <t>1995</t>
        </is>
      </c>
      <c r="F82" s="262" t="inlineStr">
        <is>
          <t>Older HPB review referenced</t>
        </is>
      </c>
    </row>
    <row r="83" ht="18" customHeight="1">
      <c r="B83" s="264" t="inlineStr">
        <is>
          <t>[27]</t>
        </is>
      </c>
      <c r="C83" s="264" t="inlineStr">
        <is>
          <t>Roberts et al.</t>
        </is>
      </c>
      <c r="D83" s="264" t="inlineStr">
        <is>
          <t>J. Am. Ceram. Soc. 62, 496</t>
        </is>
      </c>
      <c r="E83" s="264" t="inlineStr">
        <is>
          <t>1979</t>
        </is>
      </c>
      <c r="F83" s="15" t="inlineStr">
        <is>
          <t>Al₂O₃ bulk permeability (not in tables)</t>
        </is>
      </c>
    </row>
    <row r="84" ht="18" customHeight="1">
      <c r="B84" s="262" t="inlineStr">
        <is>
          <t>[28]</t>
        </is>
      </c>
      <c r="C84" s="262" t="inlineStr">
        <is>
          <t>Serra E</t>
        </is>
      </c>
      <c r="D84" s="262" t="inlineStr">
        <is>
          <t>J. Am. Ceram. Soc. 88, 15</t>
        </is>
      </c>
      <c r="E84" s="262" t="inlineStr">
        <is>
          <t>2005</t>
        </is>
      </c>
      <c r="F84" s="262" t="inlineStr">
        <is>
          <t>Al₂O₃ permeation measurements</t>
        </is>
      </c>
    </row>
    <row r="85" ht="18" customHeight="1">
      <c r="B85" s="264" t="inlineStr">
        <is>
          <t>[29]</t>
        </is>
      </c>
      <c r="C85" s="264" t="inlineStr">
        <is>
          <t>Levchuk et al.</t>
        </is>
      </c>
      <c r="D85" s="264" t="inlineStr">
        <is>
          <t>J. Nucl. Mater. 328, 103</t>
        </is>
      </c>
      <c r="E85" s="264" t="inlineStr">
        <is>
          <t>2004</t>
        </is>
      </c>
      <c r="F85" s="15" t="inlineStr">
        <is>
          <t>Al₂O₃ PRF 1000 on Eurofer (Table 2)</t>
        </is>
      </c>
    </row>
    <row r="86" ht="18" customHeight="1">
      <c r="B86" s="262" t="inlineStr">
        <is>
          <t>[31]</t>
        </is>
      </c>
      <c r="C86" s="262" t="inlineStr">
        <is>
          <t>Stover et al.</t>
        </is>
      </c>
      <c r="D86" s="262" t="inlineStr">
        <is>
          <t>Surf. Coat. Technol. 28, 281</t>
        </is>
      </c>
      <c r="E86" s="262" t="inlineStr">
        <is>
          <t>1986</t>
        </is>
      </c>
      <c r="F86" s="19" t="inlineStr">
        <is>
          <t>Cr₂O₃ PRF ~1000 on pure Cr (Table 2, thickness assumed)</t>
        </is>
      </c>
    </row>
    <row r="87" ht="18" customHeight="1">
      <c r="B87" s="264" t="inlineStr">
        <is>
          <t>[34]</t>
        </is>
      </c>
      <c r="C87" s="264" t="inlineStr">
        <is>
          <t>Levchuk et al.</t>
        </is>
      </c>
      <c r="D87" s="264" t="inlineStr">
        <is>
          <t>Surf. Coat. Technol. 202, 5043</t>
        </is>
      </c>
      <c r="E87" s="264" t="inlineStr">
        <is>
          <t>2008</t>
        </is>
      </c>
      <c r="F87" s="15" t="inlineStr">
        <is>
          <t>Cr₂O₃/Al₂O₃ PRF 2000-3500 (Table 2)</t>
        </is>
      </c>
    </row>
    <row r="88" ht="18" customHeight="1">
      <c r="B88" s="262" t="inlineStr">
        <is>
          <t>[35]</t>
        </is>
      </c>
      <c r="C88" s="262" t="inlineStr">
        <is>
          <t>Levchuk et al.</t>
        </is>
      </c>
      <c r="D88" s="262" t="inlineStr">
        <is>
          <t>J. Nucl. Mater. 367-370, 1033</t>
        </is>
      </c>
      <c r="E88" s="262" t="inlineStr">
        <is>
          <t>2007</t>
        </is>
      </c>
      <c r="F88" s="262" t="inlineStr">
        <is>
          <t>Er₂O₃ PRF 800-1000 (Table 2)</t>
        </is>
      </c>
    </row>
    <row r="89" ht="18" customHeight="1">
      <c r="B89" s="264" t="inlineStr">
        <is>
          <t>[36]</t>
        </is>
      </c>
      <c r="C89" s="264" t="inlineStr">
        <is>
          <t>Chikada et al.</t>
        </is>
      </c>
      <c r="D89" s="264" t="inlineStr">
        <is>
          <t>J. Nucl. Mater. 442, S592</t>
        </is>
      </c>
      <c r="E89" s="264" t="inlineStr">
        <is>
          <t>2013</t>
        </is>
      </c>
      <c r="F89" s="264" t="inlineStr">
        <is>
          <t>Er₂O₃ multilayer (Table 2)</t>
        </is>
      </c>
    </row>
    <row r="90" ht="18" customHeight="1">
      <c r="B90" s="262" t="inlineStr">
        <is>
          <t>[40]</t>
        </is>
      </c>
      <c r="C90" s="262" t="inlineStr">
        <is>
          <t>Checchetto et al.</t>
        </is>
      </c>
      <c r="D90" s="262" t="inlineStr">
        <is>
          <t>J. Non-Cryst. Solids 216, 65</t>
        </is>
      </c>
      <c r="E90" s="262" t="inlineStr">
        <is>
          <t>1997</t>
        </is>
      </c>
      <c r="F90" s="262" t="inlineStr">
        <is>
          <t>SiO₂ PRF ~1 (Table 2)</t>
        </is>
      </c>
    </row>
    <row r="91" ht="18" customHeight="1">
      <c r="B91" s="264" t="inlineStr">
        <is>
          <t>[42]</t>
        </is>
      </c>
      <c r="C91" s="264" t="inlineStr">
        <is>
          <t>Tamura et al.</t>
        </is>
      </c>
      <c r="D91" s="264" t="inlineStr">
        <is>
          <t>Surf. Coat. Technol. 260, 148</t>
        </is>
      </c>
      <c r="E91" s="264" t="inlineStr">
        <is>
          <t>2014</t>
        </is>
      </c>
      <c r="F91" s="264" t="inlineStr">
        <is>
          <t>BN PRF 100 (Table 2)</t>
        </is>
      </c>
    </row>
    <row r="92" ht="18" customHeight="1">
      <c r="B92" s="262" t="inlineStr">
        <is>
          <t>[43]</t>
        </is>
      </c>
      <c r="C92" s="262" t="inlineStr">
        <is>
          <t>Man et al.</t>
        </is>
      </c>
      <c r="D92" s="19" t="inlineStr">
        <is>
          <t>Surf. Coat. Technol. 180-181, 9</t>
        </is>
      </c>
      <c r="E92" s="262" t="inlineStr">
        <is>
          <t>2004</t>
        </is>
      </c>
      <c r="F92" s="262" t="inlineStr">
        <is>
          <t>TiN PRF 100 and 1100 (Table 2)</t>
        </is>
      </c>
    </row>
    <row r="93" ht="18" customHeight="1">
      <c r="B93" s="264" t="inlineStr">
        <is>
          <t>[44]</t>
        </is>
      </c>
      <c r="C93" s="264" t="inlineStr">
        <is>
          <t>Bazzanella et al.</t>
        </is>
      </c>
      <c r="D93" s="264" t="inlineStr">
        <is>
          <t>Appl. Phys. Lett. 81, 3762</t>
        </is>
      </c>
      <c r="E93" s="264" t="inlineStr">
        <is>
          <t>2002</t>
        </is>
      </c>
      <c r="F93" s="264" t="inlineStr">
        <is>
          <t>TiAlN PRF 6800 (Table 2)</t>
        </is>
      </c>
    </row>
    <row r="94" ht="18" customHeight="1">
      <c r="B94" s="262" t="inlineStr">
        <is>
          <t>[45]</t>
        </is>
      </c>
      <c r="C94" s="262" t="inlineStr">
        <is>
          <t>McGuiness et al.</t>
        </is>
      </c>
      <c r="D94" s="262" t="inlineStr">
        <is>
          <t>Surf. Coat. Technol. 205, 2709</t>
        </is>
      </c>
      <c r="E94" s="262" t="inlineStr">
        <is>
          <t>2011</t>
        </is>
      </c>
      <c r="F94" s="19" t="inlineStr">
        <is>
          <t>TiAlN PRF 13300-20000 → 5800 (Table 2)</t>
        </is>
      </c>
    </row>
    <row r="95" ht="18" customHeight="1">
      <c r="B95" s="264" t="inlineStr">
        <is>
          <t>[48]</t>
        </is>
      </c>
      <c r="C95" s="264" t="inlineStr">
        <is>
          <t>Matejicek et al.</t>
        </is>
      </c>
      <c r="D95" s="264" t="inlineStr">
        <is>
          <t>Fusion Eng. Des. 139, 74</t>
        </is>
      </c>
      <c r="E95" s="264" t="inlineStr">
        <is>
          <t>2019</t>
        </is>
      </c>
      <c r="F95" s="15" t="inlineStr">
        <is>
          <t>Nitride group PRF 38-4600 (Table 2)</t>
        </is>
      </c>
    </row>
    <row r="96" ht="18" customHeight="1">
      <c r="B96" s="262" t="inlineStr">
        <is>
          <t>[52]</t>
        </is>
      </c>
      <c r="C96" s="262" t="inlineStr">
        <is>
          <t>Forcey et al.</t>
        </is>
      </c>
      <c r="D96" s="262" t="inlineStr">
        <is>
          <t>J. Nucl. Mater. 200, 417</t>
        </is>
      </c>
      <c r="E96" s="262" t="inlineStr">
        <is>
          <t>1993</t>
        </is>
      </c>
      <c r="F96" s="262" t="inlineStr">
        <is>
          <t>TiC PRF ~10 (Table 2)</t>
        </is>
      </c>
    </row>
    <row r="97" ht="18" customHeight="1">
      <c r="B97" s="264" t="inlineStr">
        <is>
          <t>[53]</t>
        </is>
      </c>
      <c r="C97" s="264" t="inlineStr">
        <is>
          <t>Checchetto et al.</t>
        </is>
      </c>
      <c r="D97" s="264" t="inlineStr">
        <is>
          <t>Surf. Coat. Technol. 83, 40</t>
        </is>
      </c>
      <c r="E97" s="264" t="inlineStr">
        <is>
          <t>1996</t>
        </is>
      </c>
      <c r="F97" s="264" t="inlineStr">
        <is>
          <t>TiN+TiC PRF ~100 (Table 2)</t>
        </is>
      </c>
    </row>
    <row r="98" ht="18" customHeight="1">
      <c r="B98" s="262" t="inlineStr">
        <is>
          <t>[54]</t>
        </is>
      </c>
      <c r="C98" s="262" t="inlineStr">
        <is>
          <t>Nemanic et al.</t>
        </is>
      </c>
      <c r="D98" s="19" t="inlineStr">
        <is>
          <t>J. Vac. Sci. Technol. A 28, 578</t>
        </is>
      </c>
      <c r="E98" s="262" t="inlineStr">
        <is>
          <t>2010</t>
        </is>
      </c>
      <c r="F98" s="19" t="inlineStr">
        <is>
          <t>PRF ~10⁵ detection limit estimate</t>
        </is>
      </c>
    </row>
    <row r="99" ht="12" customHeight="1"/>
  </sheetData>
  <mergeCells count="10">
    <mergeCell ref="B74:I74"/>
    <mergeCell ref="B16:I16"/>
    <mergeCell ref="B2:I2"/>
    <mergeCell ref="B51:I51"/>
    <mergeCell ref="B42:I42"/>
    <mergeCell ref="B5:I5"/>
    <mergeCell ref="B41:I41"/>
    <mergeCell ref="B1:I1"/>
    <mergeCell ref="B4:I4"/>
    <mergeCell ref="B17:I1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H56"/>
  <sheetViews>
    <sheetView showGridLines="0" workbookViewId="0">
      <selection activeCell="A1" sqref="A1"/>
    </sheetView>
  </sheetViews>
  <sheetFormatPr baseColWidth="8" defaultRowHeight="15"/>
  <cols>
    <col width="3" customWidth="1" min="1" max="1"/>
    <col width="28" customWidth="1" min="2" max="2"/>
    <col width="22" customWidth="1" min="3" max="3"/>
    <col width="18" customWidth="1" min="4" max="4"/>
    <col width="16" customWidth="1" min="5" max="5"/>
    <col width="20" customWidth="1" min="6" max="6"/>
    <col width="20" customWidth="1" min="7" max="7"/>
    <col width="28" customWidth="1" min="8" max="8"/>
  </cols>
  <sheetData>
    <row r="1" ht="26" customHeight="1">
      <c r="B1" s="157" t="inlineStr">
        <is>
          <t>Stover et al. 1986 — Raw Data Extraction</t>
        </is>
      </c>
    </row>
    <row r="2" ht="36" customHeight="1">
      <c r="B2" s="164" t="inlineStr">
        <is>
          <t>Stover D, Buchkremer HP, Hecker R. "Hydrogen and deuterium permeation through metallic and surface-oxidized chromium." Surf. Coat. Technol. 28 (1986) 281–290. DOI: 10.1016/0257-8972(86)90085-X  |  Gas: H₂ AND D₂ (both measured). CRITICAL: Oxide thickness NOT stated anywhere in paper — Nemanic 2019 assumed df=10µm confirmed absent from this source.</t>
        </is>
      </c>
    </row>
    <row r="3" ht="8" customHeight="1"/>
    <row r="4" ht="18" customHeight="1">
      <c r="B4" s="158" t="inlineStr">
        <is>
          <t>SAMPLE SPECIFICATIONS</t>
        </is>
      </c>
    </row>
    <row r="5" ht="30" customHeight="1">
      <c r="B5" s="28" t="inlineStr">
        <is>
          <t>Parameter</t>
        </is>
      </c>
      <c r="C5" s="28" t="inlineStr">
        <is>
          <t>Value</t>
        </is>
      </c>
      <c r="D5" s="28" t="inlineStr">
        <is>
          <t>Units</t>
        </is>
      </c>
      <c r="E5" s="28" t="inlineStr">
        <is>
          <t>Notes</t>
        </is>
      </c>
    </row>
    <row r="6" ht="16" customHeight="1">
      <c r="B6" s="262" t="inlineStr">
        <is>
          <t>Material</t>
        </is>
      </c>
      <c r="C6" s="19" t="inlineStr">
        <is>
          <t>Electrolytic chromium (Goodfellows, Cambridge, UK)</t>
        </is>
      </c>
      <c r="D6" s="262" t="inlineStr">
        <is>
          <t>—</t>
        </is>
      </c>
      <c r="E6" s="262" t="inlineStr"/>
    </row>
    <row r="7" ht="16" customHeight="1">
      <c r="B7" s="264" t="inlineStr">
        <is>
          <t>Purity</t>
        </is>
      </c>
      <c r="C7" s="264" t="inlineStr">
        <is>
          <t>better than 99.99%</t>
        </is>
      </c>
      <c r="D7" s="264" t="inlineStr">
        <is>
          <t>%</t>
        </is>
      </c>
      <c r="E7" s="264" t="inlineStr"/>
    </row>
    <row r="8" ht="16" customHeight="1">
      <c r="B8" s="262" t="inlineStr">
        <is>
          <t>Shape</t>
        </is>
      </c>
      <c r="C8" s="262" t="inlineStr">
        <is>
          <t>Circular discs</t>
        </is>
      </c>
      <c r="D8" s="262" t="inlineStr">
        <is>
          <t>—</t>
        </is>
      </c>
      <c r="E8" s="262" t="inlineStr">
        <is>
          <t>44 mm diameter</t>
        </is>
      </c>
    </row>
    <row r="9" ht="16" customHeight="1">
      <c r="B9" s="264" t="inlineStr">
        <is>
          <t>Surface prep</t>
        </is>
      </c>
      <c r="C9" s="264" t="inlineStr">
        <is>
          <t>Abrasion + ultrasonic cleaning</t>
        </is>
      </c>
      <c r="D9" s="264" t="inlineStr">
        <is>
          <t>—</t>
        </is>
      </c>
      <c r="E9" s="264" t="inlineStr">
        <is>
          <t>Sand-blast OR chloride acid etch</t>
        </is>
      </c>
    </row>
    <row r="10" ht="16" customHeight="1">
      <c r="B10" s="262" t="inlineStr">
        <is>
          <t>Oxidation method 1</t>
        </is>
      </c>
      <c r="C10" s="262" t="inlineStr">
        <is>
          <t>H₂-H₂O gas mixtures</t>
        </is>
      </c>
      <c r="D10" s="262" t="inlineStr">
        <is>
          <t>—</t>
        </is>
      </c>
      <c r="E10" s="262" t="inlineStr">
        <is>
          <t>Special coating device; up to 950°C</t>
        </is>
      </c>
    </row>
    <row r="11" ht="16" customHeight="1">
      <c r="B11" s="264" t="inlineStr">
        <is>
          <t>Oxidation method 2</t>
        </is>
      </c>
      <c r="C11" s="264" t="inlineStr">
        <is>
          <t>In situ D₂-D₂O mixtures</t>
        </is>
      </c>
      <c r="D11" s="264" t="inlineStr">
        <is>
          <t>—</t>
        </is>
      </c>
      <c r="E11" s="15" t="inlineStr">
        <is>
          <t>In permeation device; restricted to 850°C</t>
        </is>
      </c>
    </row>
    <row r="12" ht="16" customHeight="1">
      <c r="B12" s="262" t="inlineStr">
        <is>
          <t>Oxidized samples</t>
        </is>
      </c>
      <c r="C12" s="262" t="inlineStr">
        <is>
          <t>3</t>
        </is>
      </c>
      <c r="D12" s="262" t="inlineStr">
        <is>
          <t>—</t>
        </is>
      </c>
      <c r="E12" s="262" t="inlineStr">
        <is>
          <t>Three different samples</t>
        </is>
      </c>
    </row>
    <row r="13" ht="16" customHeight="1">
      <c r="B13" s="264" t="inlineStr">
        <is>
          <t>Pressure range</t>
        </is>
      </c>
      <c r="C13" s="264" t="inlineStr">
        <is>
          <t>10⁻⁸ to 1</t>
        </is>
      </c>
      <c r="D13" s="264" t="inlineStr">
        <is>
          <t>bar</t>
        </is>
      </c>
      <c r="E13" s="264" t="inlineStr">
        <is>
          <t>Full measurement range</t>
        </is>
      </c>
    </row>
    <row r="14" ht="16" customHeight="1">
      <c r="B14" s="262" t="inlineStr">
        <is>
          <t>T range (metal)</t>
        </is>
      </c>
      <c r="C14" s="262" t="inlineStr">
        <is>
          <t>600 to 800</t>
        </is>
      </c>
      <c r="D14" s="262" t="inlineStr">
        <is>
          <t>°C</t>
        </is>
      </c>
      <c r="E14" s="262" t="inlineStr">
        <is>
          <t>873 to 1073 K</t>
        </is>
      </c>
    </row>
    <row r="15" ht="16" customHeight="1">
      <c r="B15" s="264" t="inlineStr">
        <is>
          <t>T range (oxide)</t>
        </is>
      </c>
      <c r="C15" s="264" t="inlineStr">
        <is>
          <t>up to 900</t>
        </is>
      </c>
      <c r="D15" s="264" t="inlineStr">
        <is>
          <t>°C</t>
        </is>
      </c>
      <c r="E15" s="264" t="inlineStr">
        <is>
          <t>up to 1173 K</t>
        </is>
      </c>
    </row>
    <row r="16" ht="16" customHeight="1">
      <c r="B16" s="262" t="inlineStr">
        <is>
          <t>Oxidation atm (Fig5)</t>
        </is>
      </c>
      <c r="C16" s="19" t="inlineStr">
        <is>
          <t>P_D₂O=P_D₂=3×10⁻² bar; P_Ar=0.96 bar</t>
        </is>
      </c>
      <c r="D16" s="262" t="inlineStr">
        <is>
          <t>—</t>
        </is>
      </c>
      <c r="E16" s="262" t="inlineStr">
        <is>
          <t>At 800°C</t>
        </is>
      </c>
    </row>
    <row r="17" ht="8" customHeight="1"/>
    <row r="18" ht="18" customHeight="1">
      <c r="B18" s="158" t="inlineStr">
        <is>
          <t>CHROMIUM METAL — Arrhenius Permeability (Figure 2, Sieverts region)</t>
        </is>
      </c>
    </row>
    <row r="19" ht="28" customHeight="1">
      <c r="B19" s="159" t="inlineStr">
        <is>
          <t>Units as in paper: K = cm³(STP) / (cm·s·bar⁰·⁵).  Definition: j∞ = K × p^0.5 / x  (x = membrane thickness in cm, j in cm³(STP)/(cm²·s)).  Isotopic factor ~1.5 in Sieverts range; ~2 in linear region.  Classical prediction (m_D/m_H)^0.5 = √2 ≈ 1.4.</t>
        </is>
      </c>
    </row>
    <row r="20" ht="30" customHeight="1">
      <c r="B20" s="28" t="inlineStr">
        <is>
          <t>Gas</t>
        </is>
      </c>
      <c r="C20" s="28" t="inlineStr">
        <is>
          <t>K_0 (cm³(STP)/cm/s/bar⁰·⁵)</t>
        </is>
      </c>
      <c r="D20" s="28" t="inlineStr">
        <is>
          <t>E_a (J/mol)</t>
        </is>
      </c>
      <c r="E20" s="28" t="inlineStr">
        <is>
          <t>Annealing condition</t>
        </is>
      </c>
      <c r="F20" s="28" t="inlineStr">
        <is>
          <t>Notes</t>
        </is>
      </c>
    </row>
    <row r="21" ht="16" customHeight="1">
      <c r="B21" s="262" t="inlineStr">
        <is>
          <t>H₂</t>
        </is>
      </c>
      <c r="C21" s="262" t="inlineStr">
        <is>
          <t>6.4 × 10⁻²</t>
        </is>
      </c>
      <c r="D21" s="262" t="inlineStr">
        <is>
          <t>66,000</t>
        </is>
      </c>
      <c r="E21" s="262" t="inlineStr">
        <is>
          <t>Annealed 800°C</t>
        </is>
      </c>
      <c r="F21" s="262" t="inlineStr">
        <is>
          <t>Main curve — Fig 2</t>
        </is>
      </c>
    </row>
    <row r="22" ht="16" customHeight="1">
      <c r="B22" s="264" t="inlineStr">
        <is>
          <t>D₂</t>
        </is>
      </c>
      <c r="C22" s="264" t="inlineStr">
        <is>
          <t>4.1 × 10⁻²</t>
        </is>
      </c>
      <c r="D22" s="264" t="inlineStr">
        <is>
          <t>65,000</t>
        </is>
      </c>
      <c r="E22" s="264" t="inlineStr">
        <is>
          <t>Annealed 800°C</t>
        </is>
      </c>
      <c r="F22" s="264" t="inlineStr">
        <is>
          <t>Main curve — Fig 2</t>
        </is>
      </c>
    </row>
    <row r="23" ht="16" customHeight="1">
      <c r="B23" s="262" t="inlineStr">
        <is>
          <t>D₂</t>
        </is>
      </c>
      <c r="C23" s="262" t="inlineStr">
        <is>
          <t>~1.5 × 10⁻²</t>
        </is>
      </c>
      <c r="D23" s="262" t="inlineStr">
        <is>
          <t>65,000</t>
        </is>
      </c>
      <c r="E23" s="262" t="inlineStr">
        <is>
          <t>Annealed 950°C</t>
        </is>
      </c>
      <c r="F23" s="19" t="inlineStr">
        <is>
          <t>Factor ~2.7 lower — parallel Arrhenius</t>
        </is>
      </c>
    </row>
    <row r="24" ht="8" customHeight="1"/>
    <row r="25" ht="18" customHeight="1">
      <c r="B25" s="158" t="inlineStr">
        <is>
          <t>CHROMIUM METAL — Diffusion Parameters (Figure 3, kinetic experiments)</t>
        </is>
      </c>
    </row>
    <row r="26" ht="22" customHeight="1">
      <c r="B26" s="159" t="inlineStr">
        <is>
          <t>Considerable scatter in data — difficult to distinguish uncertainties from isotopic effects.  Activation energies are very low (kilojoules per mole) consistent with b.c.c. structures.</t>
        </is>
      </c>
    </row>
    <row r="27" ht="30" customHeight="1">
      <c r="B27" s="28" t="inlineStr">
        <is>
          <t>Quantity</t>
        </is>
      </c>
      <c r="C27" s="28" t="inlineStr">
        <is>
          <t>D_0 (cm²/s)</t>
        </is>
      </c>
      <c r="D27" s="28" t="inlineStr">
        <is>
          <t>E_D (J/mol)</t>
        </is>
      </c>
      <c r="E27" s="28" t="inlineStr">
        <is>
          <t>Condition</t>
        </is>
      </c>
      <c r="F27" s="28" t="inlineStr">
        <is>
          <t>Notes</t>
        </is>
      </c>
    </row>
    <row r="28" ht="16" customHeight="1">
      <c r="B28" s="262" t="inlineStr">
        <is>
          <t>D(H₂)</t>
        </is>
      </c>
      <c r="C28" s="262" t="inlineStr">
        <is>
          <t>1.5 × 10⁻⁴</t>
        </is>
      </c>
      <c r="D28" s="262" t="inlineStr">
        <is>
          <t>1,900</t>
        </is>
      </c>
      <c r="E28" s="262" t="inlineStr">
        <is>
          <t>Annealed 800°C and 950°C</t>
        </is>
      </c>
      <c r="F28" s="262" t="inlineStr">
        <is>
          <t>H₂ — least squares fit</t>
        </is>
      </c>
    </row>
    <row r="29" ht="16" customHeight="1">
      <c r="B29" s="264" t="inlineStr">
        <is>
          <t>D(D₂)</t>
        </is>
      </c>
      <c r="C29" s="264" t="inlineStr">
        <is>
          <t>5.9 × 10⁻⁴</t>
        </is>
      </c>
      <c r="D29" s="264" t="inlineStr">
        <is>
          <t>12,800</t>
        </is>
      </c>
      <c r="E29" s="264" t="inlineStr">
        <is>
          <t>Annealed 800°C</t>
        </is>
      </c>
      <c r="F29" s="264" t="inlineStr">
        <is>
          <t>D₂ data only</t>
        </is>
      </c>
    </row>
    <row r="30" ht="16" customHeight="1">
      <c r="B30" s="262" t="inlineStr">
        <is>
          <t>D̄ (all data)</t>
        </is>
      </c>
      <c r="C30" s="262" t="inlineStr">
        <is>
          <t>3.0 × 10⁻⁴</t>
        </is>
      </c>
      <c r="D30" s="262" t="inlineStr">
        <is>
          <t>7,400</t>
        </is>
      </c>
      <c r="E30" s="262" t="inlineStr">
        <is>
          <t>All samples combined</t>
        </is>
      </c>
      <c r="F30" s="262" t="inlineStr">
        <is>
          <t>Single combined fit</t>
        </is>
      </c>
    </row>
    <row r="31" ht="8" customHeight="1"/>
    <row r="32" ht="18" customHeight="1">
      <c r="B32" s="158" t="inlineStr">
        <is>
          <t>CHROMIUM METAL — Solubility (calculated by authors from K and D̄)</t>
        </is>
      </c>
    </row>
    <row r="33" ht="30" customHeight="1">
      <c r="B33" s="159" t="inlineStr">
        <is>
          <t>S = K/D̄ = 213 cm³(STP)/cm³·bar⁰·⁵ × exp(−57,000 J / (mol·RT)).  Uncertainty on activation energy: ±5 kJ/mol.  Literature comparison: Martin 1929 ~55 kJ/mol; Luckemeyer-Hasse &amp; Schenck 1932 ~52 kJ/mol; Arnould &amp; McLellan 1973 ~48 kJ/mol; this work ~57 kJ/mol.</t>
        </is>
      </c>
    </row>
    <row r="34" ht="8" customHeight="1"/>
    <row r="35" ht="18" customHeight="1">
      <c r="B35" s="214" t="inlineStr">
        <is>
          <t>OXIDIZED Cr — Temperature Dependence (Figure 7) *** PRIMARY DATA ***</t>
        </is>
      </c>
    </row>
    <row r="36" ht="36" customHeight="1">
      <c r="B36" s="215" t="inlineStr">
        <is>
          <t>Gas: D₂ only.  T range approx 700–950°C (973–1223 K) from x-axis: 10⁴K/T = 8 to 11.  Units: j/√p in cm³(STP)/(cm²·s·bar⁰·⁵).  THESE ARE Q_p VALUES FOR D₂ THROUGH Cr₂O₃ — isotope-independent (same for H₂).  OXIDE THICKNESS NOT STATED — cannot calculate absolute Phi_ox from this paper alone.</t>
        </is>
      </c>
    </row>
    <row r="37" ht="30" customHeight="1">
      <c r="B37" s="88" t="inlineStr">
        <is>
          <t>Sample</t>
        </is>
      </c>
      <c r="C37" s="88" t="inlineStr">
        <is>
          <t>D₂ pressure (mbar)</t>
        </is>
      </c>
      <c r="D37" s="88" t="inlineStr">
        <is>
          <t>Q_p (kJ/mol)</t>
        </is>
      </c>
      <c r="E37" s="88" t="inlineStr">
        <is>
          <t>Oxide quality</t>
        </is>
      </c>
      <c r="F37" s="88" t="inlineStr">
        <is>
          <t>Notes</t>
        </is>
      </c>
    </row>
    <row r="38" ht="16" customHeight="1">
      <c r="B38" s="262" t="inlineStr">
        <is>
          <t>Cr1₁</t>
        </is>
      </c>
      <c r="C38" s="262" t="inlineStr">
        <is>
          <t>970</t>
        </is>
      </c>
      <c r="D38" s="262" t="inlineStr">
        <is>
          <t>100</t>
        </is>
      </c>
      <c r="E38" s="262" t="inlineStr">
        <is>
          <t>Most damaged (highest j)</t>
        </is>
      </c>
      <c r="F38" s="262" t="inlineStr">
        <is>
          <t>Lowest activation energy</t>
        </is>
      </c>
    </row>
    <row r="39" ht="16" customHeight="1">
      <c r="B39" s="264" t="inlineStr">
        <is>
          <t>Cr1₂</t>
        </is>
      </c>
      <c r="C39" s="264" t="inlineStr">
        <is>
          <t>98.5</t>
        </is>
      </c>
      <c r="D39" s="264" t="inlineStr">
        <is>
          <t>100</t>
        </is>
      </c>
      <c r="E39" s="264" t="inlineStr">
        <is>
          <t>Most damaged</t>
        </is>
      </c>
      <c r="F39" s="264" t="inlineStr">
        <is>
          <t>Same slope as Cr1₁</t>
        </is>
      </c>
    </row>
    <row r="40" ht="16" customHeight="1">
      <c r="B40" s="262" t="inlineStr">
        <is>
          <t>Cr4₁</t>
        </is>
      </c>
      <c r="C40" s="262" t="inlineStr">
        <is>
          <t>30</t>
        </is>
      </c>
      <c r="D40" s="262" t="inlineStr">
        <is>
          <t>143</t>
        </is>
      </c>
      <c r="E40" s="262" t="inlineStr">
        <is>
          <t>Intermediate-low</t>
        </is>
      </c>
      <c r="F40" s="262" t="inlineStr"/>
    </row>
    <row r="41" ht="16" customHeight="1">
      <c r="B41" s="264" t="inlineStr">
        <is>
          <t>Cr4₂</t>
        </is>
      </c>
      <c r="C41" s="264" t="inlineStr">
        <is>
          <t>30</t>
        </is>
      </c>
      <c r="D41" s="264" t="inlineStr">
        <is>
          <t>135</t>
        </is>
      </c>
      <c r="E41" s="264" t="inlineStr">
        <is>
          <t>Intermediate</t>
        </is>
      </c>
      <c r="F41" s="264" t="inlineStr"/>
    </row>
    <row r="42" ht="16" customHeight="1">
      <c r="B42" s="262" t="inlineStr">
        <is>
          <t>Cr4₃</t>
        </is>
      </c>
      <c r="C42" s="262" t="inlineStr">
        <is>
          <t>60</t>
        </is>
      </c>
      <c r="D42" s="262" t="inlineStr">
        <is>
          <t>125</t>
        </is>
      </c>
      <c r="E42" s="262" t="inlineStr">
        <is>
          <t>Intermediate-high</t>
        </is>
      </c>
      <c r="F42" s="262" t="inlineStr"/>
    </row>
    <row r="43" ht="16" customHeight="1">
      <c r="B43" s="216" t="inlineStr">
        <is>
          <t>Cr2</t>
        </is>
      </c>
      <c r="C43" s="216" t="inlineStr">
        <is>
          <t>125</t>
        </is>
      </c>
      <c r="D43" s="216" t="inlineStr">
        <is>
          <t>234</t>
        </is>
      </c>
      <c r="E43" s="216" t="inlineStr">
        <is>
          <t>Almost undamaged (lowest j)</t>
        </is>
      </c>
      <c r="F43" s="132" t="inlineStr">
        <is>
          <t>Authors: "almost undamaged chromia phase"</t>
        </is>
      </c>
    </row>
    <row r="44" ht="36" customHeight="1">
      <c r="B44" s="215" t="inlineStr">
        <is>
          <t>Text: "highest value of about 234 kJ/mol characterizes an almost undamaged chromia phase. An increase in the number of defects leads to enhanced permeation rates and changes in the apparent activation energy." Text: "All values clearly enhanced compared with 65 kJ/mol for metallic chromium."</t>
        </is>
      </c>
    </row>
    <row r="45" ht="8" customHeight="1"/>
    <row r="46" ht="18" customHeight="1">
      <c r="B46" s="158" t="inlineStr">
        <is>
          <t>OXIDIZED Cr — Pressure Dependence (Figure 6)</t>
        </is>
      </c>
    </row>
    <row r="47" ht="28" customHeight="1">
      <c r="B47" s="159" t="inlineStr">
        <is>
          <t>Gas: D₂. Samples Cr2 (800°C) and Cr4 (700°C). Pressure range 10⁻⁴ to 1 bar.  General p^0.5 behaviour with deviations at low pressure.  Text: "square root pressure dependence points to atomic transport of deuterium in the chromia layer as the rate-determining step."</t>
        </is>
      </c>
    </row>
    <row r="48" ht="8" customHeight="1"/>
    <row r="49" ht="18" customHeight="1">
      <c r="B49" s="158" t="inlineStr">
        <is>
          <t>CONCLUSIONS (as stated in paper)</t>
        </is>
      </c>
    </row>
    <row r="50" ht="30" customHeight="1">
      <c r="B50" s="28" t="inlineStr">
        <is>
          <t>#</t>
        </is>
      </c>
      <c r="C50" s="28" t="inlineStr">
        <is>
          <t>Conclusion</t>
        </is>
      </c>
      <c r="D50" s="28" t="inlineStr">
        <is>
          <t>Relevance to database</t>
        </is>
      </c>
    </row>
    <row r="51" ht="20" customHeight="1">
      <c r="B51" s="262" t="inlineStr">
        <is>
          <t>1</t>
        </is>
      </c>
      <c r="C51" s="19" t="inlineStr">
        <is>
          <t>Cr metal: weakly T-dependent diffusion (~10 kJ/mol); Sieverts above 10⁻³ bar</t>
        </is>
      </c>
      <c r="D51" s="19" t="inlineStr">
        <is>
          <t>E_D_Cr very low per this paper; conflicts with Nemanic 2023 (56.9 kJ/mol)</t>
        </is>
      </c>
    </row>
    <row r="52" ht="20" customHeight="1">
      <c r="B52" s="264" t="inlineStr">
        <is>
          <t>2</t>
        </is>
      </c>
      <c r="C52" s="15" t="inlineStr">
        <is>
          <t>Permeability depends on annealing (mainly solubility)</t>
        </is>
      </c>
      <c r="D52" s="264" t="inlineStr">
        <is>
          <t>H_s_Cr ~ Q_p - E_D ≈ 57 kJ/mol</t>
        </is>
      </c>
    </row>
    <row r="53" ht="20" customHeight="1">
      <c r="B53" s="262" t="inlineStr">
        <is>
          <t>3</t>
        </is>
      </c>
      <c r="C53" s="19" t="inlineStr">
        <is>
          <t>Low pressure: linear p-dependence → surface-controlled</t>
        </is>
      </c>
      <c r="D53" s="262" t="inlineStr">
        <is>
          <t>Consistent with SLR below 10⁻⁷ bar</t>
        </is>
      </c>
    </row>
    <row r="54" ht="20" customHeight="1">
      <c r="B54" s="264" t="inlineStr">
        <is>
          <t>4</t>
        </is>
      </c>
      <c r="C54" s="15" t="inlineStr">
        <is>
          <t>Chromia: 2-3 orders of magnitude lower permeation</t>
        </is>
      </c>
      <c r="D54" s="264" t="inlineStr">
        <is>
          <t>PRF = 100-1000 range</t>
        </is>
      </c>
    </row>
    <row r="55" ht="20" customHeight="1">
      <c r="B55" s="262" t="inlineStr">
        <is>
          <t>5</t>
        </is>
      </c>
      <c r="C55" s="19" t="inlineStr">
        <is>
          <t>Oxidized: p^0.5 → atomic H transport in chromia</t>
        </is>
      </c>
      <c r="D55" s="262" t="inlineStr">
        <is>
          <t>Confirms atomic transport mechanism</t>
        </is>
      </c>
    </row>
    <row r="56" ht="20" customHeight="1">
      <c r="B56" s="264" t="inlineStr">
        <is>
          <t>6</t>
        </is>
      </c>
      <c r="C56" s="15" t="inlineStr">
        <is>
          <t>Variable Q_p explained by heterogeneous oxide model [Ref 10]</t>
        </is>
      </c>
      <c r="D56" s="264" t="inlineStr">
        <is>
          <t>234 kJ/mol = undamaged limit</t>
        </is>
      </c>
    </row>
    <row r="57" ht="12" customHeight="1"/>
  </sheetData>
  <mergeCells count="15">
    <mergeCell ref="B36:H36"/>
    <mergeCell ref="B32:H32"/>
    <mergeCell ref="B26:H26"/>
    <mergeCell ref="B18:H18"/>
    <mergeCell ref="B1:H1"/>
    <mergeCell ref="B35:H35"/>
    <mergeCell ref="B4:H4"/>
    <mergeCell ref="B44:H44"/>
    <mergeCell ref="B49:H49"/>
    <mergeCell ref="B47:H47"/>
    <mergeCell ref="B2:H2"/>
    <mergeCell ref="B33:H33"/>
    <mergeCell ref="B25:H25"/>
    <mergeCell ref="B19:H19"/>
    <mergeCell ref="B46:H4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H59"/>
  <sheetViews>
    <sheetView showGridLines="0" workbookViewId="0">
      <selection activeCell="A1" sqref="A1"/>
    </sheetView>
  </sheetViews>
  <sheetFormatPr baseColWidth="8" defaultRowHeight="15"/>
  <cols>
    <col width="3" customWidth="1" min="1" max="1"/>
    <col width="28" customWidth="1" min="2" max="2"/>
    <col width="20" customWidth="1" min="3" max="3"/>
    <col width="18" customWidth="1" min="4" max="4"/>
    <col width="16" customWidth="1" min="5" max="5"/>
    <col width="20" customWidth="1" min="6" max="6"/>
    <col width="20" customWidth="1" min="7" max="7"/>
    <col width="28" customWidth="1" min="8" max="8"/>
  </cols>
  <sheetData>
    <row r="1" ht="26" customHeight="1">
      <c r="B1" s="157" t="inlineStr">
        <is>
          <t>Levchuk et al. 2004 — Raw Data Extraction</t>
        </is>
      </c>
    </row>
    <row r="2" ht="28" customHeight="1">
      <c r="B2" s="156" t="inlineStr">
        <is>
          <t>Levchuk D, Koch F, Maier H, Bolt H. "Deuterium permeation through Eurofer and α-alumina coated Eurofer." J. Nucl. Mater. 328 (2004) 103–106. DOI: 10.1016/j.jnucmat.2004.03.008  |  Gas: D₂ throughout. Isotope correction ×√2 on Phi_0 and D_0 for H₂ equivalent. Q_p and E_D unchanged.</t>
        </is>
      </c>
    </row>
    <row r="3" ht="8" customHeight="1"/>
    <row r="4" ht="18" customHeight="1">
      <c r="B4" s="158" t="inlineStr">
        <is>
          <t>SAMPLE SPECIFICATIONS</t>
        </is>
      </c>
    </row>
    <row r="5" ht="30" customHeight="1">
      <c r="B5" s="28" t="inlineStr">
        <is>
          <t>Parameter</t>
        </is>
      </c>
      <c r="C5" s="28" t="inlineStr">
        <is>
          <t>Value</t>
        </is>
      </c>
      <c r="D5" s="28" t="inlineStr">
        <is>
          <t>Units</t>
        </is>
      </c>
      <c r="E5" s="28" t="inlineStr">
        <is>
          <t>Notes</t>
        </is>
      </c>
    </row>
    <row r="6" ht="16" customHeight="1">
      <c r="B6" s="262" t="inlineStr">
        <is>
          <t>Substrate material</t>
        </is>
      </c>
      <c r="C6" s="19" t="inlineStr">
        <is>
          <t>Eurofer (ferritic martensitic steel)</t>
        </is>
      </c>
      <c r="D6" s="262" t="inlineStr">
        <is>
          <t>—</t>
        </is>
      </c>
      <c r="E6" s="262" t="inlineStr">
        <is>
          <t>Developed for DEMO first wall</t>
        </is>
      </c>
    </row>
    <row r="7" ht="16" customHeight="1">
      <c r="B7" s="264" t="inlineStr">
        <is>
          <t>Sample shape</t>
        </is>
      </c>
      <c r="C7" s="264" t="inlineStr">
        <is>
          <t>Disk</t>
        </is>
      </c>
      <c r="D7" s="264" t="inlineStr">
        <is>
          <t>—</t>
        </is>
      </c>
      <c r="E7" s="264" t="inlineStr">
        <is>
          <t>20 mm diameter</t>
        </is>
      </c>
    </row>
    <row r="8" ht="16" customHeight="1">
      <c r="B8" s="262" t="inlineStr">
        <is>
          <t>Original thickness</t>
        </is>
      </c>
      <c r="C8" s="262" t="inlineStr">
        <is>
          <t>0.5</t>
        </is>
      </c>
      <c r="D8" s="262" t="inlineStr">
        <is>
          <t>mm</t>
        </is>
      </c>
      <c r="E8" s="262" t="inlineStr">
        <is>
          <t>Before polishing</t>
        </is>
      </c>
    </row>
    <row r="9" ht="16" customHeight="1">
      <c r="B9" s="264" t="inlineStr">
        <is>
          <t>Bare sample thickness</t>
        </is>
      </c>
      <c r="C9" s="264" t="inlineStr">
        <is>
          <t>0.46</t>
        </is>
      </c>
      <c r="D9" s="264" t="inlineStr">
        <is>
          <t>mm</t>
        </is>
      </c>
      <c r="E9" s="264" t="inlineStr">
        <is>
          <t>After polishing</t>
        </is>
      </c>
    </row>
    <row r="10" ht="16" customHeight="1">
      <c r="B10" s="262" t="inlineStr">
        <is>
          <t>Coated sample thickness</t>
        </is>
      </c>
      <c r="C10" s="262" t="inlineStr">
        <is>
          <t>0.27</t>
        </is>
      </c>
      <c r="D10" s="262" t="inlineStr">
        <is>
          <t>mm</t>
        </is>
      </c>
      <c r="E10" s="19" t="inlineStr">
        <is>
          <t>After polishing — USED IN PRF CALCULATION</t>
        </is>
      </c>
    </row>
    <row r="11" ht="16" customHeight="1">
      <c r="B11" s="264" t="inlineStr">
        <is>
          <t>Al₂O₃ film thickness</t>
        </is>
      </c>
      <c r="C11" s="264" t="inlineStr">
        <is>
          <t>~1</t>
        </is>
      </c>
      <c r="D11" s="264" t="inlineStr">
        <is>
          <t>µm</t>
        </is>
      </c>
      <c r="E11" s="15" t="inlineStr">
        <is>
          <t>Confirmed by profilometry + weight gain</t>
        </is>
      </c>
    </row>
    <row r="12" ht="16" customHeight="1">
      <c r="B12" s="262" t="inlineStr">
        <is>
          <t>Deposition method</t>
        </is>
      </c>
      <c r="C12" s="262" t="inlineStr">
        <is>
          <t>Filtered arc discharge</t>
        </is>
      </c>
      <c r="D12" s="262" t="inlineStr">
        <is>
          <t>—</t>
        </is>
      </c>
      <c r="E12" s="262" t="inlineStr">
        <is>
          <t>Arc on Al cathode; O₂ introduced</t>
        </is>
      </c>
    </row>
    <row r="13" ht="16" customHeight="1">
      <c r="B13" s="264" t="inlineStr">
        <is>
          <t>Deposition temperature</t>
        </is>
      </c>
      <c r="C13" s="264" t="inlineStr">
        <is>
          <t>973 K</t>
        </is>
      </c>
      <c r="D13" s="264" t="inlineStr">
        <is>
          <t>—</t>
        </is>
      </c>
      <c r="E13" s="264" t="inlineStr">
        <is>
          <t>With −200 V bias voltage</t>
        </is>
      </c>
    </row>
    <row r="14" ht="16" customHeight="1">
      <c r="B14" s="262" t="inlineStr">
        <is>
          <t>Coating structure</t>
        </is>
      </c>
      <c r="C14" s="262" t="inlineStr">
        <is>
          <t>Dense crystalline α-alumina</t>
        </is>
      </c>
      <c r="D14" s="262" t="inlineStr">
        <is>
          <t>—</t>
        </is>
      </c>
      <c r="E14" s="262" t="inlineStr">
        <is>
          <t>α-phase confirmed</t>
        </is>
      </c>
    </row>
    <row r="15" ht="16" customHeight="1">
      <c r="B15" s="264" t="inlineStr">
        <is>
          <t>Standard deposition T</t>
        </is>
      </c>
      <c r="C15" s="264" t="inlineStr">
        <is>
          <t>≥1300 K</t>
        </is>
      </c>
      <c r="D15" s="264" t="inlineStr">
        <is>
          <t>—</t>
        </is>
      </c>
      <c r="E15" s="15" t="inlineStr">
        <is>
          <t>Without bias — would damage martensitic steel</t>
        </is>
      </c>
    </row>
    <row r="16" ht="16" customHeight="1">
      <c r="B16" s="262" t="inlineStr">
        <is>
          <t>Back-side treatment</t>
        </is>
      </c>
      <c r="C16" s="262" t="inlineStr">
        <is>
          <t>Argon glow discharge</t>
        </is>
      </c>
      <c r="D16" s="262" t="inlineStr">
        <is>
          <t>—</t>
        </is>
      </c>
      <c r="E16" s="19" t="inlineStr">
        <is>
          <t>Remove oxidation from back side after deposition</t>
        </is>
      </c>
    </row>
    <row r="17" ht="16" customHeight="1">
      <c r="B17" s="264" t="inlineStr">
        <is>
          <t>Coating side</t>
        </is>
      </c>
      <c r="C17" s="264" t="inlineStr">
        <is>
          <t>Upstream (HPV) side</t>
        </is>
      </c>
      <c r="D17" s="264" t="inlineStr">
        <is>
          <t>—</t>
        </is>
      </c>
      <c r="E17" s="264" t="inlineStr">
        <is>
          <t>Alumina facing incoming D₂</t>
        </is>
      </c>
    </row>
    <row r="18" ht="8" customHeight="1"/>
    <row r="19" ht="18" customHeight="1">
      <c r="B19" s="158" t="inlineStr">
        <is>
          <t>EXPERIMENTAL SETUP</t>
        </is>
      </c>
    </row>
    <row r="20" ht="30" customHeight="1">
      <c r="B20" s="28" t="inlineStr">
        <is>
          <t>Parameter</t>
        </is>
      </c>
      <c r="C20" s="28" t="inlineStr">
        <is>
          <t>Value</t>
        </is>
      </c>
      <c r="D20" s="28" t="inlineStr">
        <is>
          <t>Notes</t>
        </is>
      </c>
    </row>
    <row r="21" ht="16" customHeight="1">
      <c r="B21" s="262" t="inlineStr">
        <is>
          <t>Furnace</t>
        </is>
      </c>
      <c r="C21" s="262" t="inlineStr">
        <is>
          <t>Carbolite HST 12, up to 1100 K</t>
        </is>
      </c>
      <c r="D21" s="262" t="inlineStr"/>
    </row>
    <row r="22" ht="16" customHeight="1">
      <c r="B22" s="264" t="inlineStr">
        <is>
          <t>Gas feed</t>
        </is>
      </c>
      <c r="C22" s="15" t="inlineStr">
        <is>
          <t>MKS 1179A mass-flow controller + liquid N₂ trap</t>
        </is>
      </c>
      <c r="D22" s="264" t="inlineStr">
        <is>
          <t>Reduce water contamination</t>
        </is>
      </c>
    </row>
    <row r="23" ht="16" customHeight="1">
      <c r="B23" s="262" t="inlineStr">
        <is>
          <t>Pressure gauges</t>
        </is>
      </c>
      <c r="C23" s="19" t="inlineStr">
        <is>
          <t>Two baratrons: 10⁻²–10² Pa and 10–10⁵ Pa</t>
        </is>
      </c>
      <c r="D23" s="262" t="inlineStr"/>
    </row>
    <row r="24" ht="16" customHeight="1">
      <c r="B24" s="264" t="inlineStr">
        <is>
          <t>Detection (primary)</t>
        </is>
      </c>
      <c r="C24" s="264" t="inlineStr">
        <is>
          <t>QMS Balzers QMA 125</t>
        </is>
      </c>
      <c r="D24" s="264" t="inlineStr">
        <is>
          <t>For low signals</t>
        </is>
      </c>
    </row>
    <row r="25" ht="16" customHeight="1">
      <c r="B25" s="262" t="inlineStr">
        <is>
          <t>Detection (secondary)</t>
        </is>
      </c>
      <c r="C25" s="262" t="inlineStr">
        <is>
          <t>MKS Baratron 120</t>
        </is>
      </c>
      <c r="D25" s="19" t="inlineStr">
        <is>
          <t>For high signals and QMS calibration</t>
        </is>
      </c>
    </row>
    <row r="26" ht="16" customHeight="1">
      <c r="B26" s="264" t="inlineStr">
        <is>
          <t>QMS working range</t>
        </is>
      </c>
      <c r="C26" s="264" t="inlineStr">
        <is>
          <t>10⁻⁷ to 10⁻² mol/m²s for D₂</t>
        </is>
      </c>
      <c r="D26" s="264" t="inlineStr"/>
    </row>
    <row r="27" ht="16" customHeight="1">
      <c r="B27" s="262" t="inlineStr">
        <is>
          <t>Mode</t>
        </is>
      </c>
      <c r="C27" s="262" t="inlineStr">
        <is>
          <t>Dynamic (LPV continuously pumped)</t>
        </is>
      </c>
      <c r="D27" s="262" t="inlineStr"/>
    </row>
    <row r="28" ht="16" customHeight="1">
      <c r="B28" s="264" t="inlineStr">
        <is>
          <t>Base pressure LPV</t>
        </is>
      </c>
      <c r="C28" s="264" t="inlineStr">
        <is>
          <t>10⁻⁷ Pa</t>
        </is>
      </c>
      <c r="D28" s="264" t="inlineStr"/>
    </row>
    <row r="29" ht="16" customHeight="1">
      <c r="B29" s="262" t="inlineStr">
        <is>
          <t>Base pressure HPV</t>
        </is>
      </c>
      <c r="C29" s="262" t="inlineStr">
        <is>
          <t>10⁻⁶ Pa</t>
        </is>
      </c>
      <c r="D29" s="262" t="inlineStr"/>
    </row>
    <row r="30" ht="16" customHeight="1">
      <c r="B30" s="264" t="inlineStr">
        <is>
          <t>Permeability definition</t>
        </is>
      </c>
      <c r="C30" s="264" t="inlineStr">
        <is>
          <t>P = J×d / p^0.5</t>
        </is>
      </c>
      <c r="D30" s="15" t="inlineStr">
        <is>
          <t>d = sample thickness; p = driving pressure</t>
        </is>
      </c>
    </row>
    <row r="31" ht="16" customHeight="1">
      <c r="B31" s="262" t="inlineStr">
        <is>
          <t>Anneal between runs</t>
        </is>
      </c>
      <c r="C31" s="19" t="inlineStr">
        <is>
          <t>773 K (bare) or 1023 K (coated) for ~1.5 h</t>
        </is>
      </c>
      <c r="D31" s="262" t="inlineStr">
        <is>
          <t>To release accumulated H</t>
        </is>
      </c>
    </row>
    <row r="32" ht="8" customHeight="1"/>
    <row r="33" ht="18" customHeight="1">
      <c r="B33" s="158" t="inlineStr">
        <is>
          <t>BARE EUROFER — Pressure Exponents (Figure 2)</t>
        </is>
      </c>
    </row>
    <row r="34" ht="22" customHeight="1">
      <c r="B34" s="159" t="inlineStr">
        <is>
          <t>Driving pressures: 10³ to 10⁵ Pa.  n from power law J ∝ p^n (values in parentheses in figure).  Values near 0.5 = diffusion limited; steeper at lower T and p = surface influence.</t>
        </is>
      </c>
    </row>
    <row r="35" ht="30" customHeight="1">
      <c r="B35" s="28" t="inlineStr">
        <is>
          <t>Temperature (K)</t>
        </is>
      </c>
      <c r="C35" s="28" t="inlineStr">
        <is>
          <t>Temperature (°C)</t>
        </is>
      </c>
      <c r="D35" s="28" t="inlineStr">
        <is>
          <t>Pressure exponent n</t>
        </is>
      </c>
      <c r="E35" s="28" t="inlineStr">
        <is>
          <t>Regime assessment</t>
        </is>
      </c>
    </row>
    <row r="36" ht="16" customHeight="1">
      <c r="B36" s="263" t="n">
        <v>573</v>
      </c>
      <c r="C36" s="263" t="n">
        <v>300</v>
      </c>
      <c r="D36" s="263" t="n">
        <v>0.62</v>
      </c>
      <c r="E36" s="19" t="inlineStr">
        <is>
          <t>Close to DLR (n≈0.5); some surface influence at low p</t>
        </is>
      </c>
    </row>
    <row r="37" ht="16" customHeight="1">
      <c r="B37" s="265" t="n">
        <v>673</v>
      </c>
      <c r="C37" s="265" t="n">
        <v>400</v>
      </c>
      <c r="D37" s="265" t="n">
        <v>0.63</v>
      </c>
      <c r="E37" s="264" t="inlineStr">
        <is>
          <t>Close to DLR</t>
        </is>
      </c>
    </row>
    <row r="38" ht="16" customHeight="1">
      <c r="B38" s="263" t="n">
        <v>773</v>
      </c>
      <c r="C38" s="263" t="n">
        <v>500</v>
      </c>
      <c r="D38" s="263" t="n">
        <v>0.63</v>
      </c>
      <c r="E38" s="262" t="inlineStr">
        <is>
          <t>Close to DLR</t>
        </is>
      </c>
    </row>
    <row r="39" ht="16" customHeight="1">
      <c r="B39" s="265" t="n">
        <v>873</v>
      </c>
      <c r="C39" s="265" t="n">
        <v>600</v>
      </c>
      <c r="D39" s="265" t="n">
        <v>0.57</v>
      </c>
      <c r="E39" s="264" t="inlineStr">
        <is>
          <t>Closest to pure diffusion limited</t>
        </is>
      </c>
    </row>
    <row r="40" ht="8" customHeight="1"/>
    <row r="41" ht="18" customHeight="1">
      <c r="B41" s="219" t="inlineStr">
        <is>
          <t>Al₂O₃-COATED EUROFER — Permeation (Figures 3 and 4) *** PRIMARY DATA ***</t>
        </is>
      </c>
    </row>
    <row r="42" ht="40" customHeight="1">
      <c r="B42" s="220" t="inlineStr">
        <is>
          <t>Temperatures measured: 973, 1023, 1073 K (100 K range — only 3 points).  Higher T needed because QMS sensitivity insufficient at lower T.  PRF ≥ 10³ (ratio uncoated/coated from Fig. 4).  Activation energy Q_p ≈ "just over 50 kJ/mol" (rough estimate from 3 points).  IMPORTANT: This is the only stated numerical value for Al₂O₃ film Q_p.</t>
        </is>
      </c>
    </row>
    <row r="43" ht="30" customHeight="1">
      <c r="B43" s="37" t="inlineStr">
        <is>
          <t>Parameter</t>
        </is>
      </c>
      <c r="C43" s="37" t="inlineStr">
        <is>
          <t>Value</t>
        </is>
      </c>
      <c r="D43" s="37" t="inlineStr">
        <is>
          <t>Units</t>
        </is>
      </c>
      <c r="E43" s="37" t="inlineStr">
        <is>
          <t>Notes</t>
        </is>
      </c>
    </row>
    <row r="44" ht="16" customHeight="1">
      <c r="B44" s="262" t="inlineStr">
        <is>
          <t>Temperatures measured</t>
        </is>
      </c>
      <c r="C44" s="262" t="inlineStr">
        <is>
          <t>973, 1023, 1073</t>
        </is>
      </c>
      <c r="D44" s="262" t="inlineStr">
        <is>
          <t>K</t>
        </is>
      </c>
      <c r="E44" s="262" t="inlineStr">
        <is>
          <t>Three points only; 100 K span</t>
        </is>
      </c>
    </row>
    <row r="45" ht="16" customHeight="1">
      <c r="B45" s="264" t="inlineStr">
        <is>
          <t>Pressure exponent n</t>
        </is>
      </c>
      <c r="C45" s="264" t="inlineStr">
        <is>
          <t>~0.7</t>
        </is>
      </c>
      <c r="D45" s="264" t="inlineStr">
        <is>
          <t>—</t>
        </is>
      </c>
      <c r="E45" s="264" t="inlineStr">
        <is>
          <t>Fitted; slightly above Sieverts 0.5</t>
        </is>
      </c>
    </row>
    <row r="46" ht="16" customHeight="1">
      <c r="B46" s="216" t="inlineStr">
        <is>
          <t>PRF</t>
        </is>
      </c>
      <c r="C46" s="216" t="inlineStr">
        <is>
          <t>≥10³</t>
        </is>
      </c>
      <c r="D46" s="216" t="inlineStr">
        <is>
          <t>—</t>
        </is>
      </c>
      <c r="E46" s="132" t="inlineStr">
        <is>
          <t>Ratio of uncoated to coated permeability (Fig. 4)</t>
        </is>
      </c>
    </row>
    <row r="47" ht="16" customHeight="1">
      <c r="B47" s="216" t="inlineStr">
        <is>
          <t>Q_p (Al₂O₃ film)</t>
        </is>
      </c>
      <c r="C47" s="216" t="inlineStr">
        <is>
          <t>just over 50</t>
        </is>
      </c>
      <c r="D47" s="216" t="inlineStr">
        <is>
          <t>kJ/mol</t>
        </is>
      </c>
      <c r="E47" s="132" t="inlineStr">
        <is>
          <t>Rough estimate — 3 points, 100 K range</t>
        </is>
      </c>
    </row>
    <row r="48" ht="16" customHeight="1">
      <c r="B48" s="262" t="inlineStr">
        <is>
          <t>Film thickness df</t>
        </is>
      </c>
      <c r="C48" s="262" t="inlineStr">
        <is>
          <t>~1</t>
        </is>
      </c>
      <c r="D48" s="262" t="inlineStr">
        <is>
          <t>µm</t>
        </is>
      </c>
      <c r="E48" s="262" t="inlineStr">
        <is>
          <t>Confirmed by profilometry</t>
        </is>
      </c>
    </row>
    <row r="49" ht="16" customHeight="1">
      <c r="B49" s="264" t="inlineStr">
        <is>
          <t>Substrate thickness ds</t>
        </is>
      </c>
      <c r="C49" s="264" t="inlineStr">
        <is>
          <t>0.27</t>
        </is>
      </c>
      <c r="D49" s="264" t="inlineStr">
        <is>
          <t>mm</t>
        </is>
      </c>
      <c r="E49" s="264" t="inlineStr">
        <is>
          <t>Coated sample (after polishing)</t>
        </is>
      </c>
    </row>
    <row r="50" ht="16" customHeight="1">
      <c r="B50" s="262" t="inlineStr">
        <is>
          <t>Thermal cycling</t>
        </is>
      </c>
      <c r="C50" s="262" t="inlineStr">
        <is>
          <t>Stable to 1073 K</t>
        </is>
      </c>
      <c r="D50" s="262" t="inlineStr">
        <is>
          <t>—</t>
        </is>
      </c>
      <c r="E50" s="262" t="inlineStr">
        <is>
          <t>No degradation observed</t>
        </is>
      </c>
    </row>
    <row r="51" ht="16" customHeight="1">
      <c r="B51" s="264" t="inlineStr">
        <is>
          <t>Surface effects</t>
        </is>
      </c>
      <c r="C51" s="264" t="inlineStr">
        <is>
          <t>Noticeable role</t>
        </is>
      </c>
      <c r="D51" s="264" t="inlineStr">
        <is>
          <t>—</t>
        </is>
      </c>
      <c r="E51" s="15" t="inlineStr">
        <is>
          <t>PRF partly from surface, not bulk barrier alone</t>
        </is>
      </c>
    </row>
    <row r="52" ht="16" customHeight="1">
      <c r="B52" s="262" t="inlineStr">
        <is>
          <t>Spread between runs</t>
        </is>
      </c>
      <c r="C52" s="262" t="inlineStr">
        <is>
          <t>Yes</t>
        </is>
      </c>
      <c r="D52" s="262" t="inlineStr">
        <is>
          <t>—</t>
        </is>
      </c>
      <c r="E52" s="19" t="inlineStr">
        <is>
          <t>Points within run consistent; scatter between runs</t>
        </is>
      </c>
    </row>
    <row r="53" ht="8" customHeight="1"/>
    <row r="54" ht="18" customHeight="1">
      <c r="B54" s="158" t="inlineStr">
        <is>
          <t>ISOTOPE NOTE — D₂ to H₂ conversion</t>
        </is>
      </c>
    </row>
    <row r="55" ht="30" customHeight="1">
      <c r="B55" s="28" t="inlineStr">
        <is>
          <t>Parameter</t>
        </is>
      </c>
      <c r="C55" s="28" t="inlineStr">
        <is>
          <t>Conversion</t>
        </is>
      </c>
      <c r="D55" s="28" t="inlineStr">
        <is>
          <t>Rationale</t>
        </is>
      </c>
    </row>
    <row r="56" ht="16" customHeight="1">
      <c r="B56" s="262" t="inlineStr">
        <is>
          <t>Phi_0 (pre-exponential)</t>
        </is>
      </c>
      <c r="C56" s="262" t="inlineStr">
        <is>
          <t>×√2 = 1.4142</t>
        </is>
      </c>
      <c r="D56" s="262" t="inlineStr">
        <is>
          <t>Attempt frequency scales as m^(−½)</t>
        </is>
      </c>
    </row>
    <row r="57" ht="16" customHeight="1">
      <c r="B57" s="264" t="inlineStr">
        <is>
          <t>Q_p (~50 kJ/mol)</t>
        </is>
      </c>
      <c r="C57" s="264" t="inlineStr">
        <is>
          <t>No change</t>
        </is>
      </c>
      <c r="D57" s="15" t="inlineStr">
        <is>
          <t>Activation energy is lattice property — isotope-independent</t>
        </is>
      </c>
    </row>
    <row r="58" ht="16" customHeight="1">
      <c r="B58" s="262" t="inlineStr">
        <is>
          <t>PRF</t>
        </is>
      </c>
      <c r="C58" s="262" t="inlineStr">
        <is>
          <t>No change</t>
        </is>
      </c>
      <c r="D58" s="19" t="inlineStr">
        <is>
          <t>Dimensionless ratio — same for H₂ and D₂</t>
        </is>
      </c>
    </row>
    <row r="59" ht="16" customHeight="1">
      <c r="B59" s="264" t="inlineStr">
        <is>
          <t>Pressure exponent n</t>
        </is>
      </c>
      <c r="C59" s="264" t="inlineStr">
        <is>
          <t>No change</t>
        </is>
      </c>
      <c r="D59" s="264" t="inlineStr">
        <is>
          <t>Transport mechanism unchanged</t>
        </is>
      </c>
    </row>
    <row r="60" ht="12" customHeight="1"/>
  </sheetData>
  <mergeCells count="9">
    <mergeCell ref="B41:H41"/>
    <mergeCell ref="B1:H1"/>
    <mergeCell ref="B4:H4"/>
    <mergeCell ref="B2:H2"/>
    <mergeCell ref="B54:H54"/>
    <mergeCell ref="B33:H33"/>
    <mergeCell ref="B42:H42"/>
    <mergeCell ref="B19:H19"/>
    <mergeCell ref="B34:H3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G101"/>
  <sheetViews>
    <sheetView showGridLines="0" workbookViewId="0">
      <selection activeCell="A1" sqref="A1"/>
    </sheetView>
  </sheetViews>
  <sheetFormatPr baseColWidth="8" defaultRowHeight="15"/>
  <cols>
    <col width="3" customWidth="1" min="1" max="1"/>
    <col width="28" customWidth="1" min="2" max="2"/>
    <col width="18" customWidth="1" min="3" max="3"/>
    <col width="18" customWidth="1" min="4" max="4"/>
    <col width="18" customWidth="1" min="5" max="5"/>
    <col width="18" customWidth="1" min="6" max="6"/>
    <col width="36" customWidth="1" min="7" max="7"/>
  </cols>
  <sheetData>
    <row r="1" ht="26" customHeight="1">
      <c r="B1" s="157" t="inlineStr">
        <is>
          <t>Medasani et al. 2019 — Raw Data Extraction</t>
        </is>
      </c>
    </row>
    <row r="2" ht="22" customHeight="1">
      <c r="B2" s="156" t="inlineStr">
        <is>
          <t>Medasani BK, Sushko ML, Rosso KM, Schreiber DK, Bruemmer SM. "Temperature Dependence of Self-Diffusion in Cr₂O₃ from First Principles." J. Phys. Chem. C 2019, 123, 22139–22150. DOI: 10.1021/acs.jpcc.9b03218  |  Data code: https://github.com/mbkumar/Cr2O3_diffusion</t>
        </is>
      </c>
    </row>
    <row r="3" ht="50" customHeight="1">
      <c r="B3" s="236" t="inlineStr">
        <is>
          <t>⚠ CRITICAL WARNING: This paper studies Cr ION and O ION self-diffusion in Cr₂O₃ — NOT hydrogen (H) diffusion. These diffusion coefficients describe how Cr³⁺ and O²⁻ lattice ions move during oxide growth and corrosion. They cannot be used as D_ox or Phi_ox for H permeation modeling. The existing Oxides_Transport entry for this paper carries this warning. See also the WARNING note in that sheet.</t>
        </is>
      </c>
    </row>
    <row r="4" ht="8" customHeight="1"/>
    <row r="5" ht="18" customHeight="1">
      <c r="B5" s="158" t="inlineStr">
        <is>
          <t>TABLE 1 — Bandgap of Cr₂O₃ vs HSE Screening Parameter (as printed)</t>
        </is>
      </c>
    </row>
    <row r="6" ht="22" customHeight="1">
      <c r="B6" s="159" t="inlineStr">
        <is>
          <t>Chosen value: μ=0.6 → bandgap=3.38 eV (best match to experimental 3.4 eV).  HSE06 (μ=0.2) and HSE03 (μ=0.3) gave 4.27 and 3.85 eV respectively — too high.</t>
        </is>
      </c>
    </row>
    <row r="7" ht="28" customHeight="1">
      <c r="B7" s="28" t="inlineStr">
        <is>
          <t>μ (screening param)</t>
        </is>
      </c>
      <c r="C7" s="28" t="inlineStr">
        <is>
          <t>Computed bandgap (eV)</t>
        </is>
      </c>
      <c r="D7" s="28" t="inlineStr">
        <is>
          <t>Notes</t>
        </is>
      </c>
    </row>
    <row r="8" ht="16" customHeight="1">
      <c r="B8" s="263" t="n">
        <v>0.2</v>
      </c>
      <c r="C8" s="263" t="n">
        <v>4.27</v>
      </c>
      <c r="D8" s="262" t="inlineStr"/>
    </row>
    <row r="9" ht="16" customHeight="1">
      <c r="B9" s="265" t="n">
        <v>0.3</v>
      </c>
      <c r="C9" s="265" t="n">
        <v>3.85</v>
      </c>
      <c r="D9" s="264" t="inlineStr"/>
    </row>
    <row r="10" ht="16" customHeight="1">
      <c r="B10" s="263" t="n">
        <v>0.4</v>
      </c>
      <c r="C10" s="263" t="n">
        <v>3.64</v>
      </c>
      <c r="D10" s="262" t="inlineStr"/>
    </row>
    <row r="11" ht="16" customHeight="1">
      <c r="B11" s="265" t="n">
        <v>0.5</v>
      </c>
      <c r="C11" s="265" t="n">
        <v>3.59</v>
      </c>
      <c r="D11" s="264" t="inlineStr"/>
    </row>
    <row r="12" ht="16" customHeight="1">
      <c r="B12" s="241" t="n">
        <v>0.6</v>
      </c>
      <c r="C12" s="241" t="n">
        <v>3.38</v>
      </c>
      <c r="D12" s="132" t="inlineStr">
        <is>
          <t>CHOSEN — best match to experiment</t>
        </is>
      </c>
    </row>
    <row r="13" ht="16" customHeight="1">
      <c r="B13" s="252" t="inlineStr">
        <is>
          <t>Experimental</t>
        </is>
      </c>
      <c r="C13" s="252" t="inlineStr">
        <is>
          <t>3.2 – 3.4</t>
        </is>
      </c>
      <c r="D13" s="252" t="inlineStr">
        <is>
          <t>Range from literature</t>
        </is>
      </c>
    </row>
    <row r="14" ht="8" customHeight="1"/>
    <row r="15" ht="18" customHeight="1">
      <c r="B15" s="158" t="inlineStr">
        <is>
          <t>TABLE 2 — Bulk Properties of Cr₂O₃ with HSE Functional (as printed)</t>
        </is>
      </c>
    </row>
    <row r="16" ht="28" customHeight="1">
      <c r="B16" s="28" t="inlineStr">
        <is>
          <t>Property</t>
        </is>
      </c>
      <c r="C16" s="28" t="inlineStr">
        <is>
          <t>This work (HSE)</t>
        </is>
      </c>
      <c r="D16" s="28" t="inlineStr">
        <is>
          <t>GGA+U theory [Ref 23]</t>
        </is>
      </c>
      <c r="E16" s="28" t="inlineStr">
        <is>
          <t>GGA+U theory [Ref 22]</t>
        </is>
      </c>
      <c r="F16" s="28" t="inlineStr">
        <is>
          <t>Experiment</t>
        </is>
      </c>
    </row>
    <row r="17" ht="16" customHeight="1">
      <c r="B17" s="262" t="inlineStr">
        <is>
          <t>a (Å)</t>
        </is>
      </c>
      <c r="C17" s="262" t="inlineStr">
        <is>
          <t>4.925</t>
        </is>
      </c>
      <c r="D17" s="262" t="inlineStr">
        <is>
          <t>—</t>
        </is>
      </c>
      <c r="E17" s="262" t="inlineStr">
        <is>
          <t>—</t>
        </is>
      </c>
      <c r="F17" s="262" t="inlineStr">
        <is>
          <t>—</t>
        </is>
      </c>
    </row>
    <row r="18" ht="16" customHeight="1">
      <c r="B18" s="264" t="inlineStr">
        <is>
          <t>c (Å)</t>
        </is>
      </c>
      <c r="C18" s="264" t="inlineStr">
        <is>
          <t>13.54</t>
        </is>
      </c>
      <c r="D18" s="264" t="inlineStr">
        <is>
          <t>13.68</t>
        </is>
      </c>
      <c r="E18" s="264" t="inlineStr">
        <is>
          <t>13.85</t>
        </is>
      </c>
      <c r="F18" s="264" t="inlineStr">
        <is>
          <t>13.566</t>
        </is>
      </c>
    </row>
    <row r="19" ht="16" customHeight="1">
      <c r="B19" s="262" t="inlineStr">
        <is>
          <t>μ (μ_B/Cr)</t>
        </is>
      </c>
      <c r="C19" s="262" t="inlineStr">
        <is>
          <t>2.81</t>
        </is>
      </c>
      <c r="D19" s="262" t="inlineStr">
        <is>
          <t>2.91</t>
        </is>
      </c>
      <c r="E19" s="262" t="inlineStr">
        <is>
          <t>3.1</t>
        </is>
      </c>
      <c r="F19" s="262" t="inlineStr">
        <is>
          <t>2.8</t>
        </is>
      </c>
    </row>
    <row r="20" ht="16" customHeight="1">
      <c r="B20" s="264" t="inlineStr">
        <is>
          <t>Bandgap (eV)</t>
        </is>
      </c>
      <c r="C20" s="264" t="inlineStr">
        <is>
          <t>3.38</t>
        </is>
      </c>
      <c r="D20" s="264" t="inlineStr">
        <is>
          <t>2.95</t>
        </is>
      </c>
      <c r="E20" s="264" t="inlineStr">
        <is>
          <t>2.82</t>
        </is>
      </c>
      <c r="F20" s="264" t="inlineStr">
        <is>
          <t>3.4</t>
        </is>
      </c>
    </row>
    <row r="21" ht="8" customHeight="1"/>
    <row r="22" ht="18" customHeight="1">
      <c r="B22" s="158" t="inlineStr">
        <is>
          <t>TABLE 3 — Defect Formation Energies (eV), O-Rich, E_F at midgap (as printed)</t>
        </is>
      </c>
    </row>
    <row r="23" ht="16" customHeight="1">
      <c r="B23" s="159" t="inlineStr">
        <is>
          <t>FNV charge correction applied. GGA+U from prior works Refs 23 and 28.</t>
        </is>
      </c>
    </row>
    <row r="24" ht="28" customHeight="1">
      <c r="B24" s="28" t="inlineStr">
        <is>
          <t>Defect</t>
        </is>
      </c>
      <c r="C24" s="28" t="inlineStr">
        <is>
          <t>Charge q</t>
        </is>
      </c>
      <c r="D24" s="28" t="inlineStr">
        <is>
          <t>HSE (this work, eV)</t>
        </is>
      </c>
      <c r="E24" s="28" t="inlineStr">
        <is>
          <t>GGA+U [Refs 23,28] (eV)</t>
        </is>
      </c>
    </row>
    <row r="25" ht="16" customHeight="1">
      <c r="B25" s="262" t="inlineStr">
        <is>
          <t>V_O</t>
        </is>
      </c>
      <c r="C25" s="263" t="n">
        <v>0</v>
      </c>
      <c r="D25" s="263" t="n">
        <v>5.55</v>
      </c>
      <c r="E25" s="263" t="n">
        <v>6.01</v>
      </c>
    </row>
    <row r="26" ht="16" customHeight="1">
      <c r="B26" s="264" t="inlineStr">
        <is>
          <t>V_O</t>
        </is>
      </c>
      <c r="C26" s="265" t="n">
        <v>1</v>
      </c>
      <c r="D26" s="265" t="n">
        <v>5.62</v>
      </c>
      <c r="E26" s="265" t="n">
        <v>6.34</v>
      </c>
    </row>
    <row r="27" ht="16" customHeight="1">
      <c r="B27" s="262" t="inlineStr">
        <is>
          <t>V_O</t>
        </is>
      </c>
      <c r="C27" s="263" t="n">
        <v>2</v>
      </c>
      <c r="D27" s="263" t="n">
        <v>6.16</v>
      </c>
      <c r="E27" s="263" t="n">
        <v>7.47</v>
      </c>
    </row>
    <row r="28" ht="16" customHeight="1">
      <c r="B28" s="264" t="inlineStr">
        <is>
          <t>V_Cr</t>
        </is>
      </c>
      <c r="C28" s="265" t="n">
        <v>0</v>
      </c>
      <c r="D28" s="265" t="n">
        <v>0.9</v>
      </c>
      <c r="E28" s="265" t="n">
        <v>1.93</v>
      </c>
    </row>
    <row r="29" ht="16" customHeight="1">
      <c r="B29" s="262" t="inlineStr">
        <is>
          <t>V_Cr</t>
        </is>
      </c>
      <c r="C29" s="263" t="n">
        <v>-1</v>
      </c>
      <c r="D29" s="263" t="n">
        <v>0.93</v>
      </c>
      <c r="E29" s="263" t="n">
        <v>1.69</v>
      </c>
    </row>
    <row r="30" ht="16" customHeight="1">
      <c r="B30" s="264" t="inlineStr">
        <is>
          <t>V_Cr</t>
        </is>
      </c>
      <c r="C30" s="265" t="n">
        <v>-2</v>
      </c>
      <c r="D30" s="265" t="n">
        <v>1.3</v>
      </c>
      <c r="E30" s="265" t="n">
        <v>1.37</v>
      </c>
    </row>
    <row r="31" ht="16" customHeight="1">
      <c r="B31" s="262" t="inlineStr">
        <is>
          <t>V_Cr</t>
        </is>
      </c>
      <c r="C31" s="263" t="n">
        <v>-3</v>
      </c>
      <c r="D31" s="263" t="n">
        <v>2</v>
      </c>
      <c r="E31" s="263" t="n">
        <v>1.66</v>
      </c>
    </row>
    <row r="32" ht="16" customHeight="1">
      <c r="B32" s="264" t="inlineStr">
        <is>
          <t>O_i</t>
        </is>
      </c>
      <c r="C32" s="265" t="n">
        <v>0</v>
      </c>
      <c r="D32" s="265" t="n">
        <v>2.94</v>
      </c>
      <c r="E32" s="265" t="n">
        <v>2.18</v>
      </c>
    </row>
    <row r="33" ht="16" customHeight="1">
      <c r="B33" s="262" t="inlineStr">
        <is>
          <t>O_i</t>
        </is>
      </c>
      <c r="C33" s="263" t="n">
        <v>-1</v>
      </c>
      <c r="D33" s="263" t="n">
        <v>4.77</v>
      </c>
      <c r="E33" s="263" t="n">
        <v>3.69</v>
      </c>
    </row>
    <row r="34" ht="16" customHeight="1">
      <c r="B34" s="264" t="inlineStr">
        <is>
          <t>O_i</t>
        </is>
      </c>
      <c r="C34" s="265" t="n">
        <v>-2</v>
      </c>
      <c r="D34" s="265" t="n">
        <v>5.76</v>
      </c>
      <c r="E34" s="265" t="n">
        <v>4.38</v>
      </c>
    </row>
    <row r="35" ht="16" customHeight="1">
      <c r="B35" s="262" t="inlineStr">
        <is>
          <t>Cr_i</t>
        </is>
      </c>
      <c r="C35" s="263" t="n">
        <v>0</v>
      </c>
      <c r="D35" s="263" t="n">
        <v>11.65</v>
      </c>
      <c r="E35" s="263" t="n">
        <v>10.13</v>
      </c>
    </row>
    <row r="36" ht="16" customHeight="1">
      <c r="B36" s="264" t="inlineStr">
        <is>
          <t>Cr_i</t>
        </is>
      </c>
      <c r="C36" s="265" t="n">
        <v>1</v>
      </c>
      <c r="D36" s="265" t="n">
        <v>9.58</v>
      </c>
      <c r="E36" s="265" t="n">
        <v>8.82</v>
      </c>
    </row>
    <row r="37" ht="16" customHeight="1">
      <c r="B37" s="262" t="inlineStr">
        <is>
          <t>Cr_i</t>
        </is>
      </c>
      <c r="C37" s="263" t="n">
        <v>2</v>
      </c>
      <c r="D37" s="263" t="n">
        <v>7.85</v>
      </c>
      <c r="E37" s="263" t="n">
        <v>7.91</v>
      </c>
    </row>
    <row r="38" ht="16" customHeight="1">
      <c r="B38" s="264" t="inlineStr">
        <is>
          <t>Cr_i</t>
        </is>
      </c>
      <c r="C38" s="265" t="n">
        <v>3</v>
      </c>
      <c r="D38" s="265" t="n">
        <v>6.92</v>
      </c>
      <c r="E38" s="265" t="n">
        <v>7.97</v>
      </c>
    </row>
    <row r="39" ht="16" customHeight="1">
      <c r="B39" s="262" t="inlineStr">
        <is>
          <t>Cr Frenkel</t>
        </is>
      </c>
      <c r="C39" s="263" t="n">
        <v>0</v>
      </c>
      <c r="D39" s="263" t="n">
        <v>4.56</v>
      </c>
      <c r="E39" s="263" t="n">
        <v>2.6</v>
      </c>
    </row>
    <row r="40" ht="16" customHeight="1">
      <c r="B40" s="264" t="inlineStr">
        <is>
          <t>Schottky</t>
        </is>
      </c>
      <c r="C40" s="265" t="n">
        <v>0</v>
      </c>
      <c r="D40" s="265" t="n">
        <v>9.24</v>
      </c>
      <c r="E40" s="265" t="n">
        <v>3.97</v>
      </c>
    </row>
    <row r="41" ht="8" customHeight="1"/>
    <row r="42" ht="18" customHeight="1">
      <c r="B42" s="158" t="inlineStr">
        <is>
          <t>DEFECT COMPLEX FORMATION ENERGIES (from text, isolated conditions)</t>
        </is>
      </c>
    </row>
    <row r="43" ht="28" customHeight="1">
      <c r="B43" s="28" t="inlineStr">
        <is>
          <t>Defect complex</t>
        </is>
      </c>
      <c r="C43" s="28" t="inlineStr">
        <is>
          <t>Formation energy (eV)</t>
        </is>
      </c>
      <c r="D43" s="28" t="inlineStr">
        <is>
          <t>Notes</t>
        </is>
      </c>
    </row>
    <row r="44" ht="16" customHeight="1">
      <c r="B44" s="262" t="inlineStr">
        <is>
          <t>O Frenkel</t>
        </is>
      </c>
      <c r="C44" s="263" t="n">
        <v>11.92</v>
      </c>
      <c r="D44" s="19" t="inlineStr">
        <is>
          <t>Isolated O vacancy + O interstitial</t>
        </is>
      </c>
    </row>
    <row r="45" ht="16" customHeight="1">
      <c r="B45" s="264" t="inlineStr">
        <is>
          <t>Cr Frenkel</t>
        </is>
      </c>
      <c r="C45" s="265" t="n">
        <v>6.71</v>
      </c>
      <c r="D45" s="15" t="inlineStr">
        <is>
          <t>Isolated Cr vacancy + Cr interstitial</t>
        </is>
      </c>
    </row>
    <row r="46" ht="16" customHeight="1">
      <c r="B46" s="262" t="inlineStr">
        <is>
          <t>Schottky</t>
        </is>
      </c>
      <c r="C46" s="263" t="n">
        <v>18.12</v>
      </c>
      <c r="D46" s="19" t="inlineStr">
        <is>
          <t>2V_Cr (q=-3) + 3V_O (q=+2), non-interacting conditions</t>
        </is>
      </c>
    </row>
    <row r="47" ht="8" customHeight="1"/>
    <row r="48" ht="18" customHeight="1">
      <c r="B48" s="158" t="inlineStr">
        <is>
          <t>Cr–O PHASE DIAGRAM FORMATION ENERGIES (from text)</t>
        </is>
      </c>
    </row>
    <row r="49" ht="28" customHeight="1">
      <c r="B49" s="28" t="inlineStr">
        <is>
          <t>Phase</t>
        </is>
      </c>
      <c r="C49" s="28" t="inlineStr">
        <is>
          <t>Formation energy (eV/atom)</t>
        </is>
      </c>
      <c r="D49" s="28" t="inlineStr">
        <is>
          <t>Source</t>
        </is>
      </c>
    </row>
    <row r="50" ht="16" customHeight="1">
      <c r="B50" s="262" t="inlineStr">
        <is>
          <t>Cr₂O₃</t>
        </is>
      </c>
      <c r="C50" s="262" t="inlineStr">
        <is>
          <t>-2.54</t>
        </is>
      </c>
      <c r="D50" s="262" t="inlineStr">
        <is>
          <t>HSE this work</t>
        </is>
      </c>
    </row>
    <row r="51" ht="16" customHeight="1">
      <c r="B51" s="264" t="inlineStr">
        <is>
          <t>Cr₂O₃</t>
        </is>
      </c>
      <c r="C51" s="264" t="inlineStr">
        <is>
          <t>-2.35</t>
        </is>
      </c>
      <c r="D51" s="264" t="inlineStr">
        <is>
          <t>Experimental (reference)</t>
        </is>
      </c>
    </row>
    <row r="52" ht="16" customHeight="1">
      <c r="B52" s="262" t="inlineStr">
        <is>
          <t>CrO₂</t>
        </is>
      </c>
      <c r="C52" s="262" t="inlineStr">
        <is>
          <t>-2.17</t>
        </is>
      </c>
      <c r="D52" s="262" t="inlineStr">
        <is>
          <t>HSE this work</t>
        </is>
      </c>
    </row>
    <row r="53" ht="8" customHeight="1"/>
    <row r="54" ht="18" customHeight="1">
      <c r="B54" s="214" t="inlineStr">
        <is>
          <t>SELF-DIFFUSION COEFFICIENT DATA (Figure 9 and text)</t>
        </is>
      </c>
    </row>
    <row r="55" ht="30" customHeight="1">
      <c r="B55" s="215" t="inlineStr">
        <is>
          <t>⚠ These are Cr ION and O ION self-diffusion coefficients. NOT H diffusion. T range from x-axis 10⁴K/T=6–14 → T=714–1667 K. y-axis: log D (cm²/s) = 0 to −50.</t>
        </is>
      </c>
    </row>
    <row r="56" ht="28" customHeight="1">
      <c r="B56" s="88" t="inlineStr">
        <is>
          <t>Species</t>
        </is>
      </c>
      <c r="C56" s="88" t="inlineStr">
        <is>
          <t>T (K)</t>
        </is>
      </c>
      <c r="D56" s="88" t="inlineStr">
        <is>
          <t>pO₂ (atm)</t>
        </is>
      </c>
      <c r="E56" s="88" t="inlineStr">
        <is>
          <t>D (cm²/s)</t>
        </is>
      </c>
      <c r="F56" s="88" t="inlineStr">
        <is>
          <t>Source/Notes</t>
        </is>
      </c>
    </row>
    <row r="57" ht="16" customHeight="1">
      <c r="B57" s="262" t="inlineStr">
        <is>
          <t>Cr (computed)</t>
        </is>
      </c>
      <c r="C57" s="263" t="n">
        <v>1573</v>
      </c>
      <c r="D57" s="262" t="inlineStr">
        <is>
          <t>1</t>
        </is>
      </c>
      <c r="E57" s="262" t="inlineStr">
        <is>
          <t>~1×10⁻¹⁸</t>
        </is>
      </c>
      <c r="F57" s="19" t="inlineStr">
        <is>
          <t>Max value at standard conditions — matches Sabioni</t>
        </is>
      </c>
    </row>
    <row r="58" ht="16" customHeight="1">
      <c r="B58" s="264" t="inlineStr">
        <is>
          <t>O (computed)</t>
        </is>
      </c>
      <c r="C58" s="265" t="n">
        <v>1373</v>
      </c>
      <c r="D58" s="264" t="inlineStr">
        <is>
          <t>1×10⁻¹⁴</t>
        </is>
      </c>
      <c r="E58" s="264" t="inlineStr">
        <is>
          <t>~1×10⁻¹⁸</t>
        </is>
      </c>
      <c r="F58" s="15" t="inlineStr">
        <is>
          <t>Under high vacuum — representative conditions</t>
        </is>
      </c>
    </row>
    <row r="59" ht="16" customHeight="1">
      <c r="B59" s="262" t="inlineStr">
        <is>
          <t>Cr (Sabioni exp.)</t>
        </is>
      </c>
      <c r="C59" s="263" t="n">
        <v>1573</v>
      </c>
      <c r="D59" s="262" t="inlineStr">
        <is>
          <t>high vacuum</t>
        </is>
      </c>
      <c r="E59" s="262" t="inlineStr">
        <is>
          <t>(2.2–7.2)×10⁻¹⁸</t>
        </is>
      </c>
      <c r="F59" s="19" t="inlineStr">
        <is>
          <t>Refs 12,13 — used as validation target</t>
        </is>
      </c>
    </row>
    <row r="60" ht="16" customHeight="1">
      <c r="B60" s="264" t="inlineStr">
        <is>
          <t>O  (Sabioni exp.)</t>
        </is>
      </c>
      <c r="C60" s="265" t="n">
        <v>1373</v>
      </c>
      <c r="D60" s="264" t="inlineStr">
        <is>
          <t>high vacuum</t>
        </is>
      </c>
      <c r="E60" s="264" t="inlineStr">
        <is>
          <t>(3.2–8.4)×10⁻¹⁸</t>
        </is>
      </c>
      <c r="F60" s="15" t="inlineStr">
        <is>
          <t>Refs 12,13 — used as validation target</t>
        </is>
      </c>
    </row>
    <row r="61" ht="8" customHeight="1"/>
    <row r="62" ht="18" customHeight="1">
      <c r="B62" s="158" t="inlineStr">
        <is>
          <t>KEY QUALITATIVE FINDINGS (from Figures 9, 11, 12, 13 and text)</t>
        </is>
      </c>
    </row>
    <row r="63" ht="28" customHeight="1">
      <c r="B63" s="28" t="inlineStr">
        <is>
          <t>Condition</t>
        </is>
      </c>
      <c r="C63" s="28" t="inlineStr">
        <is>
          <t>Finding</t>
        </is>
      </c>
      <c r="D63" s="28" t="inlineStr">
        <is>
          <t>Temperature range</t>
        </is>
      </c>
    </row>
    <row r="64" ht="18" customHeight="1">
      <c r="B64" s="262" t="inlineStr">
        <is>
          <t>1 atm O₂</t>
        </is>
      </c>
      <c r="C64" s="19" t="inlineStr">
        <is>
          <t>D_Cr &gt; D_O; difference larger at low T</t>
        </is>
      </c>
      <c r="D64" s="262" t="inlineStr">
        <is>
          <t>714–1667 K</t>
        </is>
      </c>
    </row>
    <row r="65" ht="18" customHeight="1">
      <c r="B65" s="264" t="inlineStr">
        <is>
          <t>1×10⁻⁸ atm O₂</t>
        </is>
      </c>
      <c r="C65" s="15" t="inlineStr">
        <is>
          <t>O dominant above ~1100 K; Cr dominant below</t>
        </is>
      </c>
      <c r="D65" s="264" t="inlineStr">
        <is>
          <t>Crossover ~1100 K</t>
        </is>
      </c>
    </row>
    <row r="66" ht="18" customHeight="1">
      <c r="B66" s="262" t="inlineStr">
        <is>
          <t>1×10⁻¹⁴ atm O₂</t>
        </is>
      </c>
      <c r="C66" s="262" t="inlineStr">
        <is>
          <t>O dominant above ~800 K</t>
        </is>
      </c>
      <c r="D66" s="262" t="inlineStr">
        <is>
          <t>Crossover ~800 K</t>
        </is>
      </c>
    </row>
    <row r="67" ht="18" customHeight="1">
      <c r="B67" s="264" t="inlineStr">
        <is>
          <t>Cr/Cr₂O₃ interface</t>
        </is>
      </c>
      <c r="C67" s="264" t="inlineStr">
        <is>
          <t>D_O &gt;&gt; D_Cr at all T studied</t>
        </is>
      </c>
      <c r="D67" s="264" t="inlineStr">
        <is>
          <t>All T</t>
        </is>
      </c>
    </row>
    <row r="68" ht="18" customHeight="1">
      <c r="B68" s="262" t="inlineStr">
        <is>
          <t>Cr diffusion direction</t>
        </is>
      </c>
      <c r="C68" s="19" t="inlineStr">
        <is>
          <t>c-axis preferred at low T; switches to basal plane above ~1200 K</t>
        </is>
      </c>
      <c r="D68" s="262" t="inlineStr">
        <is>
          <t>~1200 K crossover</t>
        </is>
      </c>
    </row>
    <row r="69" ht="18" customHeight="1">
      <c r="B69" s="264" t="inlineStr">
        <is>
          <t>Cr diffusion at UHV</t>
        </is>
      </c>
      <c r="C69" s="15" t="inlineStr">
        <is>
          <t>Reverts to c-axis above ~1600 K</t>
        </is>
      </c>
      <c r="D69" s="264" t="inlineStr">
        <is>
          <t>~1600 K</t>
        </is>
      </c>
    </row>
    <row r="70" ht="18" customHeight="1">
      <c r="B70" s="262" t="inlineStr">
        <is>
          <t>O diffusion direction</t>
        </is>
      </c>
      <c r="C70" s="19" t="inlineStr">
        <is>
          <t>Primarily basal plane at ALL conditions</t>
        </is>
      </c>
      <c r="D70" s="262" t="inlineStr">
        <is>
          <t>All T and pO₂</t>
        </is>
      </c>
    </row>
    <row r="71" ht="18" customHeight="1">
      <c r="B71" s="264" t="inlineStr">
        <is>
          <t>Stoichiometry deviation</t>
        </is>
      </c>
      <c r="C71" s="264" t="inlineStr">
        <is>
          <t>Negligible in intrinsic Cr₂O₃</t>
        </is>
      </c>
      <c r="D71" s="264" t="inlineStr">
        <is>
          <t>—</t>
        </is>
      </c>
    </row>
    <row r="72" ht="8" customHeight="1"/>
    <row r="73" ht="18" customHeight="1">
      <c r="B73" s="158" t="inlineStr">
        <is>
          <t>BROUWER DIAGRAM — Dominant Defects (Figure 10 and text)</t>
        </is>
      </c>
    </row>
    <row r="74" ht="28" customHeight="1">
      <c r="B74" s="28" t="inlineStr">
        <is>
          <t>Temperature (K)</t>
        </is>
      </c>
      <c r="C74" s="28" t="inlineStr">
        <is>
          <t>pO₂ condition</t>
        </is>
      </c>
      <c r="D74" s="28" t="inlineStr">
        <is>
          <t>Dominant defect</t>
        </is>
      </c>
    </row>
    <row r="75" ht="16" customHeight="1">
      <c r="B75" s="263" t="n">
        <v>300</v>
      </c>
      <c r="C75" s="262" t="inlineStr">
        <is>
          <t>all pO₂</t>
        </is>
      </c>
      <c r="D75" s="19" t="inlineStr">
        <is>
          <t>V_Cr and V_Cr-TD (triple defect)</t>
        </is>
      </c>
    </row>
    <row r="76" ht="16" customHeight="1">
      <c r="B76" s="265" t="n">
        <v>800</v>
      </c>
      <c r="C76" s="264" t="inlineStr">
        <is>
          <t>above 1×10⁻⁸ atm</t>
        </is>
      </c>
      <c r="D76" s="264" t="inlineStr">
        <is>
          <t>V_Cr</t>
        </is>
      </c>
    </row>
    <row r="77" ht="16" customHeight="1">
      <c r="B77" s="263" t="n">
        <v>800</v>
      </c>
      <c r="C77" s="262" t="inlineStr">
        <is>
          <t>below 1×10⁻⁸ atm</t>
        </is>
      </c>
      <c r="D77" s="262" t="inlineStr">
        <is>
          <t>V_O</t>
        </is>
      </c>
    </row>
    <row r="78" ht="16" customHeight="1">
      <c r="B78" s="265" t="n">
        <v>1200</v>
      </c>
      <c r="C78" s="264" t="inlineStr">
        <is>
          <t>above 1×10⁻⁸ atm</t>
        </is>
      </c>
      <c r="D78" s="264" t="inlineStr">
        <is>
          <t>V_Cr</t>
        </is>
      </c>
    </row>
    <row r="79" ht="16" customHeight="1">
      <c r="B79" s="263" t="n">
        <v>1200</v>
      </c>
      <c r="C79" s="262" t="inlineStr">
        <is>
          <t>below 1×10⁻⁸ atm</t>
        </is>
      </c>
      <c r="D79" s="262" t="inlineStr">
        <is>
          <t>V_O</t>
        </is>
      </c>
    </row>
    <row r="80" ht="8" customHeight="1"/>
    <row r="81" ht="18" customHeight="1">
      <c r="B81" s="158" t="inlineStr">
        <is>
          <t>COMPUTATIONAL PARAMETERS</t>
        </is>
      </c>
    </row>
    <row r="82" ht="28" customHeight="1">
      <c r="B82" s="28" t="inlineStr">
        <is>
          <t>Parameter</t>
        </is>
      </c>
      <c r="C82" s="28" t="inlineStr">
        <is>
          <t>Value</t>
        </is>
      </c>
      <c r="D82" s="28" t="inlineStr">
        <is>
          <t>Notes</t>
        </is>
      </c>
    </row>
    <row r="83" ht="16" customHeight="1">
      <c r="B83" s="262" t="inlineStr">
        <is>
          <t>Software</t>
        </is>
      </c>
      <c r="C83" s="262" t="inlineStr">
        <is>
          <t>VASP</t>
        </is>
      </c>
      <c r="D83" s="262" t="inlineStr">
        <is>
          <t>Kresse &amp; Hafner 1993/1994/1996</t>
        </is>
      </c>
    </row>
    <row r="84" ht="16" customHeight="1">
      <c r="B84" s="264" t="inlineStr">
        <is>
          <t>Functional</t>
        </is>
      </c>
      <c r="C84" s="264" t="inlineStr">
        <is>
          <t>HSE hybrid</t>
        </is>
      </c>
      <c r="D84" s="15" t="inlineStr">
        <is>
          <t>25% HF exchange, 100% PBE correlation</t>
        </is>
      </c>
    </row>
    <row r="85" ht="16" customHeight="1">
      <c r="B85" s="262" t="inlineStr">
        <is>
          <t>HSE screening param</t>
        </is>
      </c>
      <c r="C85" s="262" t="inlineStr">
        <is>
          <t>0.6</t>
        </is>
      </c>
      <c r="D85" s="19" t="inlineStr">
        <is>
          <t>Custom — not HSE06(0.2) or HSE03(0.3)</t>
        </is>
      </c>
    </row>
    <row r="86" ht="16" customHeight="1">
      <c r="B86" s="264" t="inlineStr">
        <is>
          <t>PAW pseudopotential</t>
        </is>
      </c>
      <c r="C86" s="264" t="inlineStr">
        <is>
          <t>Optimized for PBE</t>
        </is>
      </c>
      <c r="D86" s="15" t="inlineStr">
        <is>
          <t>Blöchl 1994; Kresse &amp; Joubert 1999</t>
        </is>
      </c>
    </row>
    <row r="87" ht="16" customHeight="1">
      <c r="B87" s="262" t="inlineStr">
        <is>
          <t>Pre-optimization input</t>
        </is>
      </c>
      <c r="C87" s="262" t="inlineStr">
        <is>
          <t>GGA+U / PBEsol</t>
        </is>
      </c>
      <c r="D87" s="262" t="inlineStr">
        <is>
          <t>Wave functions as input to HSE</t>
        </is>
      </c>
    </row>
    <row r="88" ht="16" customHeight="1">
      <c r="B88" s="264" t="inlineStr">
        <is>
          <t>Primitive cell k-points</t>
        </is>
      </c>
      <c r="C88" s="264" t="inlineStr">
        <is>
          <t>5×5×5 Γ-centered</t>
        </is>
      </c>
      <c r="D88" s="264" t="inlineStr">
        <is>
          <t>10 atoms, R-3c space group</t>
        </is>
      </c>
    </row>
    <row r="89" ht="16" customHeight="1">
      <c r="B89" s="262" t="inlineStr">
        <is>
          <t>Defect supercell</t>
        </is>
      </c>
      <c r="C89" s="262" t="inlineStr">
        <is>
          <t>2×2×1</t>
        </is>
      </c>
      <c r="D89" s="262" t="inlineStr">
        <is>
          <t>From optimized primitive cell</t>
        </is>
      </c>
    </row>
    <row r="90" ht="16" customHeight="1">
      <c r="B90" s="264" t="inlineStr">
        <is>
          <t>Defect supercell kpts</t>
        </is>
      </c>
      <c r="C90" s="264" t="inlineStr">
        <is>
          <t>2×2×1 Γ-centered</t>
        </is>
      </c>
      <c r="D90" s="264" t="inlineStr"/>
    </row>
    <row r="91" ht="16" customHeight="1">
      <c r="B91" s="262" t="inlineStr">
        <is>
          <t>Plane-wave cutoff</t>
        </is>
      </c>
      <c r="C91" s="262" t="inlineStr">
        <is>
          <t>400 eV</t>
        </is>
      </c>
      <c r="D91" s="262" t="inlineStr"/>
    </row>
    <row r="92" ht="16" customHeight="1">
      <c r="B92" s="264" t="inlineStr">
        <is>
          <t>Spin polarization</t>
        </is>
      </c>
      <c r="C92" s="264" t="inlineStr">
        <is>
          <t>AFM (antiferromagnetic)</t>
        </is>
      </c>
      <c r="D92" s="15" t="inlineStr">
        <is>
          <t>Cr spins ordered antiferromagnetically</t>
        </is>
      </c>
    </row>
    <row r="93" ht="16" customHeight="1">
      <c r="B93" s="262" t="inlineStr">
        <is>
          <t>Electronic smearing</t>
        </is>
      </c>
      <c r="C93" s="262" t="inlineStr">
        <is>
          <t>Gaussian, width 0.01 eV</t>
        </is>
      </c>
      <c r="D93" s="262" t="inlineStr"/>
    </row>
    <row r="94" ht="16" customHeight="1">
      <c r="B94" s="264" t="inlineStr">
        <is>
          <t>Cell force convergence</t>
        </is>
      </c>
      <c r="C94" s="264" t="inlineStr">
        <is>
          <t>0.01 eV/Å</t>
        </is>
      </c>
      <c r="D94" s="15" t="inlineStr">
        <is>
          <t>Primitive cell — size and shape relaxed</t>
        </is>
      </c>
    </row>
    <row r="95" ht="16" customHeight="1">
      <c r="B95" s="262" t="inlineStr">
        <is>
          <t>Defect force convergence</t>
        </is>
      </c>
      <c r="C95" s="262" t="inlineStr">
        <is>
          <t>0.03 eV/Å</t>
        </is>
      </c>
      <c r="D95" s="19" t="inlineStr">
        <is>
          <t>Constant volume, fixed cell shape</t>
        </is>
      </c>
    </row>
    <row r="96" ht="16" customHeight="1">
      <c r="B96" s="264" t="inlineStr">
        <is>
          <t>Charge correction</t>
        </is>
      </c>
      <c r="C96" s="264" t="inlineStr">
        <is>
          <t>Anisotropic FNV</t>
        </is>
      </c>
      <c r="D96" s="15" t="inlineStr">
        <is>
          <t>Freysoldt-Neugebauer-VdWalle; PyCDT</t>
        </is>
      </c>
    </row>
    <row r="97" ht="16" customHeight="1">
      <c r="B97" s="262" t="inlineStr">
        <is>
          <t>Diffusion formalism</t>
        </is>
      </c>
      <c r="C97" s="262" t="inlineStr">
        <is>
          <t>Einstein-Smoluchowski</t>
        </is>
      </c>
      <c r="D97" s="262" t="inlineStr">
        <is>
          <t>Random walk theory</t>
        </is>
      </c>
    </row>
    <row r="98" ht="16" customHeight="1">
      <c r="B98" s="264" t="inlineStr">
        <is>
          <t>Attempt frequency</t>
        </is>
      </c>
      <c r="C98" s="264" t="inlineStr">
        <is>
          <t>Vineyard TST (Eq.5)</t>
        </is>
      </c>
      <c r="D98" s="264" t="inlineStr">
        <is>
          <t>Harmonic approx — phonon modes</t>
        </is>
      </c>
    </row>
    <row r="99" ht="16" customHeight="1">
      <c r="B99" s="262" t="inlineStr">
        <is>
          <t>Defect thermodynamics</t>
        </is>
      </c>
      <c r="C99" s="262" t="inlineStr">
        <is>
          <t>Constrained grand canonical</t>
        </is>
      </c>
      <c r="D99" s="19" t="inlineStr">
        <is>
          <t>Youssef &amp; Yildiz 2012 formalism</t>
        </is>
      </c>
    </row>
    <row r="100" ht="16" customHeight="1">
      <c r="B100" s="264" t="inlineStr">
        <is>
          <t>Chemical potentials</t>
        </is>
      </c>
      <c r="C100" s="264" t="inlineStr">
        <is>
          <t>NIST-JANAF tables</t>
        </is>
      </c>
      <c r="D100" s="264" t="inlineStr">
        <is>
          <t>Chase 1998</t>
        </is>
      </c>
    </row>
    <row r="101" ht="16" customHeight="1">
      <c r="B101" s="262" t="inlineStr">
        <is>
          <t>Code/data availability</t>
        </is>
      </c>
      <c r="C101" s="19" t="inlineStr">
        <is>
          <t>github.com/mbkumar/Cr2O3_diffusion</t>
        </is>
      </c>
      <c r="D101" s="262" t="inlineStr"/>
    </row>
    <row r="102" ht="12" customHeight="1"/>
  </sheetData>
  <mergeCells count="15">
    <mergeCell ref="B3:G3"/>
    <mergeCell ref="B2:G2"/>
    <mergeCell ref="B81:G81"/>
    <mergeCell ref="B54:G54"/>
    <mergeCell ref="B62:G62"/>
    <mergeCell ref="B42:G42"/>
    <mergeCell ref="B5:G5"/>
    <mergeCell ref="B22:G22"/>
    <mergeCell ref="B23:G23"/>
    <mergeCell ref="B1:G1"/>
    <mergeCell ref="B73:G73"/>
    <mergeCell ref="B48:G48"/>
    <mergeCell ref="B15:G15"/>
    <mergeCell ref="B55:G55"/>
    <mergeCell ref="B6:G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H106"/>
  <sheetViews>
    <sheetView showGridLines="0" workbookViewId="0">
      <selection activeCell="A1" sqref="A1"/>
    </sheetView>
  </sheetViews>
  <sheetFormatPr baseColWidth="8" defaultRowHeight="15"/>
  <cols>
    <col width="3" customWidth="1" min="1" max="1"/>
    <col width="24" customWidth="1" min="2" max="2"/>
    <col width="18" customWidth="1" min="3" max="3"/>
    <col width="16" customWidth="1" min="4" max="4"/>
    <col width="16" customWidth="1" min="5" max="5"/>
    <col width="16" customWidth="1" min="6" max="6"/>
    <col width="16" customWidth="1" min="7" max="7"/>
    <col width="28" customWidth="1" min="8" max="8"/>
  </cols>
  <sheetData>
    <row r="1" ht="26" customHeight="1">
      <c r="B1" s="157" t="inlineStr">
        <is>
          <t>Perng &amp; Altstetter 1986 — Raw Data Extraction</t>
        </is>
      </c>
    </row>
    <row r="2" ht="28" customHeight="1">
      <c r="B2" s="156" t="inlineStr">
        <is>
          <t>Perng TP, Altstetter CJ. "Effects of Deformation on Hydrogen Permeation in Austenitic Stainless Steels." Acta Metall. Vol. 34, No. 9, pp. 1771–1781, 1986.  Gas: H₂ (purified by Pd diffusion). T range: 100–350°C (373–623 K).  No DOI (Pergamon, pre-digital). All Arrhenius equations as printed in paper.</t>
        </is>
      </c>
    </row>
    <row r="3" ht="28" customHeight="1">
      <c r="B3" s="164" t="inlineStr">
        <is>
          <t>UNITS AS PRINTED: D in cm²/s; φ (permeability) in cm³(STP)/(cm·s·Pa¹/²).  SI conversions: D × 10⁻⁴ → m²/s; φ × 4.462×10⁻³ → mol/(m·s·Pa¹/²).  Definitions: φ = J∞·h/PH₂^0.5 (Eq.1); D = h²/(6·tL) (Eq.2); S = φ/D.</t>
        </is>
      </c>
    </row>
    <row r="4" ht="8" customHeight="1"/>
    <row r="5" ht="18" customHeight="1">
      <c r="B5" s="158" t="inlineStr">
        <is>
          <t>TABLE 1 — Chemical Compositions (wt%) of Alloys (as printed)</t>
        </is>
      </c>
    </row>
    <row r="6" ht="28" customHeight="1">
      <c r="B6" s="28" t="inlineStr">
        <is>
          <t>Material</t>
        </is>
      </c>
      <c r="C6" s="28" t="inlineStr">
        <is>
          <t>C</t>
        </is>
      </c>
      <c r="D6" s="28" t="inlineStr">
        <is>
          <t>Mn</t>
        </is>
      </c>
      <c r="E6" s="28" t="inlineStr">
        <is>
          <t>P</t>
        </is>
      </c>
      <c r="F6" s="28" t="inlineStr">
        <is>
          <t>S</t>
        </is>
      </c>
      <c r="G6" s="28" t="inlineStr">
        <is>
          <t>Si</t>
        </is>
      </c>
      <c r="H6" s="28" t="inlineStr">
        <is>
          <t>Cr</t>
        </is>
      </c>
    </row>
    <row r="7" ht="16" customHeight="1">
      <c r="B7" s="262" t="inlineStr">
        <is>
          <t>AISI 301</t>
        </is>
      </c>
      <c r="C7" s="263" t="n">
        <v>0.052</v>
      </c>
      <c r="D7" s="263" t="n">
        <v>1.28</v>
      </c>
      <c r="E7" s="262" t="inlineStr">
        <is>
          <t>—</t>
        </is>
      </c>
      <c r="F7" s="263" t="n">
        <v>0.008999999999999999</v>
      </c>
      <c r="G7" s="263" t="n">
        <v>0.48</v>
      </c>
      <c r="H7" s="263" t="n">
        <v>17.1</v>
      </c>
    </row>
    <row r="8" ht="16" customHeight="1">
      <c r="B8" s="264" t="inlineStr">
        <is>
          <t>AISI 304</t>
        </is>
      </c>
      <c r="C8" s="265" t="n">
        <v>0.062</v>
      </c>
      <c r="D8" s="265" t="n">
        <v>1.31</v>
      </c>
      <c r="E8" s="265" t="n">
        <v>0.023</v>
      </c>
      <c r="F8" s="265" t="n">
        <v>0.02</v>
      </c>
      <c r="G8" s="265" t="n">
        <v>0.57</v>
      </c>
      <c r="H8" s="265" t="n">
        <v>18.35</v>
      </c>
    </row>
    <row r="9" ht="16" customHeight="1">
      <c r="B9" s="262" t="inlineStr">
        <is>
          <t>AISI 310</t>
        </is>
      </c>
      <c r="C9" s="263" t="n">
        <v>0.054</v>
      </c>
      <c r="D9" s="263" t="n">
        <v>1.9</v>
      </c>
      <c r="E9" s="263" t="n">
        <v>0.022</v>
      </c>
      <c r="F9" s="263" t="n">
        <v>0.004</v>
      </c>
      <c r="G9" s="263" t="n">
        <v>0.65</v>
      </c>
      <c r="H9" s="263" t="n">
        <v>24.76</v>
      </c>
    </row>
    <row r="10" ht="16" customHeight="1">
      <c r="B10" s="264" t="inlineStr">
        <is>
          <t>AL 29-4-2</t>
        </is>
      </c>
      <c r="C10" s="265" t="n">
        <v>0.0029</v>
      </c>
      <c r="D10" s="265" t="n">
        <v>0.1</v>
      </c>
      <c r="E10" s="265" t="n">
        <v>0.01</v>
      </c>
      <c r="F10" s="265" t="n">
        <v>0.008999999999999999</v>
      </c>
      <c r="G10" s="265" t="n">
        <v>0.1</v>
      </c>
      <c r="H10" s="265" t="n">
        <v>29.5</v>
      </c>
    </row>
    <row r="11" ht="4" customHeight="1"/>
    <row r="12" ht="28" customHeight="1">
      <c r="B12" s="28" t="inlineStr">
        <is>
          <t>Material</t>
        </is>
      </c>
      <c r="C12" s="28" t="inlineStr">
        <is>
          <t>Ni</t>
        </is>
      </c>
      <c r="D12" s="28" t="inlineStr">
        <is>
          <t>Mo</t>
        </is>
      </c>
      <c r="E12" s="28" t="inlineStr">
        <is>
          <t>N</t>
        </is>
      </c>
      <c r="F12" s="28" t="inlineStr">
        <is>
          <t>Cu</t>
        </is>
      </c>
      <c r="G12" s="28" t="inlineStr">
        <is>
          <t>Co</t>
        </is>
      </c>
      <c r="H12" s="28" t="inlineStr">
        <is>
          <t>Sn/Ti</t>
        </is>
      </c>
    </row>
    <row r="13" ht="16" customHeight="1">
      <c r="B13" s="262" t="inlineStr">
        <is>
          <t>AISI 301</t>
        </is>
      </c>
      <c r="C13" s="263" t="n">
        <v>7.25</v>
      </c>
      <c r="D13" s="263" t="n">
        <v>0.24</v>
      </c>
      <c r="E13" s="263" t="n">
        <v>0.038</v>
      </c>
      <c r="F13" s="262" t="inlineStr">
        <is>
          <t>—</t>
        </is>
      </c>
      <c r="G13" s="262" t="inlineStr">
        <is>
          <t>—</t>
        </is>
      </c>
      <c r="H13" s="262" t="inlineStr">
        <is>
          <t>—</t>
        </is>
      </c>
    </row>
    <row r="14" ht="16" customHeight="1">
      <c r="B14" s="264" t="inlineStr">
        <is>
          <t>AISI 304</t>
        </is>
      </c>
      <c r="C14" s="265" t="n">
        <v>9.19</v>
      </c>
      <c r="D14" s="265" t="n">
        <v>0.14</v>
      </c>
      <c r="E14" s="264" t="inlineStr">
        <is>
          <t>—</t>
        </is>
      </c>
      <c r="F14" s="265" t="n">
        <v>0.27</v>
      </c>
      <c r="G14" s="265" t="n">
        <v>0.16</v>
      </c>
      <c r="H14" s="264" t="inlineStr">
        <is>
          <t>Sn:0.016</t>
        </is>
      </c>
    </row>
    <row r="15" ht="16" customHeight="1">
      <c r="B15" s="262" t="inlineStr">
        <is>
          <t>AISI 310</t>
        </is>
      </c>
      <c r="C15" s="263" t="n">
        <v>19.55</v>
      </c>
      <c r="D15" s="263" t="n">
        <v>0.11</v>
      </c>
      <c r="E15" s="263" t="n">
        <v>0.049</v>
      </c>
      <c r="F15" s="263" t="n">
        <v>0.17</v>
      </c>
      <c r="G15" s="262" t="inlineStr">
        <is>
          <t>—</t>
        </is>
      </c>
      <c r="H15" s="262" t="inlineStr">
        <is>
          <t>Ti:0.012</t>
        </is>
      </c>
    </row>
    <row r="16" ht="16" customHeight="1">
      <c r="B16" s="264" t="inlineStr">
        <is>
          <t>AL 29-4-2</t>
        </is>
      </c>
      <c r="C16" s="265" t="n">
        <v>2.23</v>
      </c>
      <c r="D16" s="265" t="n">
        <v>3.93</v>
      </c>
      <c r="E16" s="265" t="n">
        <v>0.012</v>
      </c>
      <c r="F16" s="264" t="inlineStr">
        <is>
          <t>—</t>
        </is>
      </c>
      <c r="G16" s="264" t="inlineStr">
        <is>
          <t>—</t>
        </is>
      </c>
      <c r="H16" s="264" t="inlineStr">
        <is>
          <t>—</t>
        </is>
      </c>
    </row>
    <row r="17" ht="8" customHeight="1"/>
    <row r="18" ht="18" customHeight="1">
      <c r="B18" s="158" t="inlineStr">
        <is>
          <t>EXPERIMENTAL SETUP</t>
        </is>
      </c>
    </row>
    <row r="19" ht="28" customHeight="1">
      <c r="B19" s="28" t="inlineStr">
        <is>
          <t>Parameter</t>
        </is>
      </c>
      <c r="C19" s="28" t="inlineStr">
        <is>
          <t>Value</t>
        </is>
      </c>
      <c r="D19" s="28" t="inlineStr">
        <is>
          <t>Notes</t>
        </is>
      </c>
    </row>
    <row r="20" ht="16" customHeight="1">
      <c r="B20" s="262" t="inlineStr">
        <is>
          <t>Technique</t>
        </is>
      </c>
      <c r="C20" s="262" t="inlineStr">
        <is>
          <t>Gas-phase permeation, UHV</t>
        </is>
      </c>
      <c r="D20" s="262" t="inlineStr"/>
    </row>
    <row r="21" ht="16" customHeight="1">
      <c r="B21" s="264" t="inlineStr">
        <is>
          <t>Specimen area</t>
        </is>
      </c>
      <c r="C21" s="264" t="inlineStr">
        <is>
          <t>13.85 cm²</t>
        </is>
      </c>
      <c r="D21" s="264" t="inlineStr">
        <is>
          <t>Circular membrane</t>
        </is>
      </c>
    </row>
    <row r="22" ht="16" customHeight="1">
      <c r="B22" s="262" t="inlineStr">
        <is>
          <t>Detection</t>
        </is>
      </c>
      <c r="C22" s="262" t="inlineStr">
        <is>
          <t>Ion pump (calibrated)</t>
        </is>
      </c>
      <c r="D22" s="262" t="inlineStr"/>
    </row>
    <row r="23" ht="16" customHeight="1">
      <c r="B23" s="264" t="inlineStr">
        <is>
          <t>Ion pump sensitivity</t>
        </is>
      </c>
      <c r="C23" s="264" t="inlineStr">
        <is>
          <t>2.0×10⁻⁸ cm³ H₂(STP)/s</t>
        </is>
      </c>
      <c r="D23" s="264" t="inlineStr"/>
    </row>
    <row r="24" ht="16" customHeight="1">
      <c r="B24" s="262" t="inlineStr">
        <is>
          <t>Base pressure</t>
        </is>
      </c>
      <c r="C24" s="262" t="inlineStr">
        <is>
          <t>&lt;10⁻⁶ Pa</t>
        </is>
      </c>
      <c r="D24" s="262" t="inlineStr">
        <is>
          <t>Both UHV chambers</t>
        </is>
      </c>
    </row>
    <row r="25" ht="16" customHeight="1">
      <c r="B25" s="264" t="inlineStr">
        <is>
          <t>Inlet H₂ pressure</t>
        </is>
      </c>
      <c r="C25" s="264" t="inlineStr">
        <is>
          <t>0.1 to 30 kPa</t>
        </is>
      </c>
      <c r="D25" s="264" t="inlineStr"/>
    </row>
    <row r="26" ht="16" customHeight="1">
      <c r="B26" s="262" t="inlineStr">
        <is>
          <t>Temperature range</t>
        </is>
      </c>
      <c r="C26" s="262" t="inlineStr">
        <is>
          <t>100–350°C (373–623 K)</t>
        </is>
      </c>
      <c r="D26" s="262" t="inlineStr">
        <is>
          <t>Most at 100–350°C</t>
        </is>
      </c>
    </row>
    <row r="27" ht="16" customHeight="1">
      <c r="B27" s="264" t="inlineStr">
        <is>
          <t>Lag time definition</t>
        </is>
      </c>
      <c r="C27" s="15" t="inlineStr">
        <is>
          <t>Time to 0.630 of new steady state after pressure step</t>
        </is>
      </c>
      <c r="D27" s="264" t="inlineStr"/>
    </row>
    <row r="28" ht="16" customHeight="1">
      <c r="B28" s="262" t="inlineStr">
        <is>
          <t>Surface prep</t>
        </is>
      </c>
      <c r="C28" s="19" t="inlineStr">
        <is>
          <t>Electropolish (−2°C, HClO₄:acetic 1:4), Ar sputter 0.3 mA/cm² 120 min, Pd vapour deposit</t>
        </is>
      </c>
      <c r="D28" s="262" t="inlineStr">
        <is>
          <t>Both sides</t>
        </is>
      </c>
    </row>
    <row r="29" ht="16" customHeight="1">
      <c r="B29" s="264" t="inlineStr">
        <is>
          <t>Gas purity</t>
        </is>
      </c>
      <c r="C29" s="264" t="inlineStr">
        <is>
          <t>H₂ purified by Pd diffusion</t>
        </is>
      </c>
      <c r="D29" s="264" t="inlineStr"/>
    </row>
    <row r="30" ht="8" customHeight="1"/>
    <row r="31" ht="18" customHeight="1">
      <c r="B31" s="158" t="inlineStr">
        <is>
          <t>ARRHENIUS EQUATIONS — as printed in paper (ANNEALED specimens)</t>
        </is>
      </c>
    </row>
    <row r="32" ht="28" customHeight="1">
      <c r="B32" s="159" t="inlineStr">
        <is>
          <t>D₀ in cm²/s; φ₀ in cm³(STP)/(cm·s·Pa¹/²); activation energies in kJ/mol.  SI: multiply D₀ by 1×10⁻⁴ for m²/s; multiply φ₀ by 4.462×10⁻³ for mol/(m·s·Pa¹/²).  All annealed specimens; H₂ gas.</t>
        </is>
      </c>
    </row>
    <row r="33" ht="28" customHeight="1">
      <c r="B33" s="28" t="inlineStr">
        <is>
          <t>Material</t>
        </is>
      </c>
      <c r="C33" s="28" t="inlineStr">
        <is>
          <t>Eq.</t>
        </is>
      </c>
      <c r="D33" s="28" t="inlineStr">
        <is>
          <t>D₀ (cm²/s)</t>
        </is>
      </c>
      <c r="E33" s="28" t="inlineStr">
        <is>
          <t>E_D (kJ/mol)</t>
        </is>
      </c>
      <c r="F33" s="28" t="inlineStr">
        <is>
          <t>φ₀ (cm³(STP)/cm·s·Pa¹/²)</t>
        </is>
      </c>
      <c r="G33" s="28" t="inlineStr">
        <is>
          <t>Q_p (kJ/mol)</t>
        </is>
      </c>
      <c r="H33" s="28" t="inlineStr">
        <is>
          <t>Condition/Notes</t>
        </is>
      </c>
    </row>
    <row r="34" ht="18" customHeight="1">
      <c r="B34" s="262" t="inlineStr">
        <is>
          <t>AL 29-4-2 ferritic SS</t>
        </is>
      </c>
      <c r="C34" s="262" t="inlineStr">
        <is>
          <t>3,5</t>
        </is>
      </c>
      <c r="D34" s="262" t="inlineStr">
        <is>
          <t>6.40×10⁻⁵</t>
        </is>
      </c>
      <c r="E34" s="262" t="inlineStr">
        <is>
          <t>7.0</t>
        </is>
      </c>
      <c r="F34" s="262" t="inlineStr">
        <is>
          <t>2.20×10⁻⁶</t>
        </is>
      </c>
      <c r="G34" s="262" t="inlineStr">
        <is>
          <t>38.4</t>
        </is>
      </c>
      <c r="H34" s="19" t="inlineStr">
        <is>
          <t>Specimen: 195 µm. T&gt;170°C. Break in D at ~170°C.</t>
        </is>
      </c>
    </row>
    <row r="35" ht="18" customHeight="1">
      <c r="B35" s="264" t="inlineStr">
        <is>
          <t>AL 29-4-2 ferritic SS</t>
        </is>
      </c>
      <c r="C35" s="264" t="inlineStr">
        <is>
          <t>4</t>
        </is>
      </c>
      <c r="D35" s="264" t="inlineStr">
        <is>
          <t>8.45×10⁻²</t>
        </is>
      </c>
      <c r="E35" s="264" t="inlineStr">
        <is>
          <t>33.7</t>
        </is>
      </c>
      <c r="F35" s="264" t="inlineStr">
        <is>
          <t>—</t>
        </is>
      </c>
      <c r="G35" s="264" t="inlineStr">
        <is>
          <t>—</t>
        </is>
      </c>
      <c r="H35" s="15" t="inlineStr">
        <is>
          <t>T&lt;170°C only (trapping-dominated region)</t>
        </is>
      </c>
    </row>
    <row r="36" ht="18" customHeight="1">
      <c r="B36" s="262" t="inlineStr">
        <is>
          <t>AISI 301 austenitic</t>
        </is>
      </c>
      <c r="C36" s="262" t="inlineStr">
        <is>
          <t>6,7</t>
        </is>
      </c>
      <c r="D36" s="262" t="inlineStr">
        <is>
          <t>1.30×10⁻³</t>
        </is>
      </c>
      <c r="E36" s="262" t="inlineStr">
        <is>
          <t>49.2</t>
        </is>
      </c>
      <c r="F36" s="262" t="inlineStr">
        <is>
          <t>4.96×10⁻⁶</t>
        </is>
      </c>
      <c r="G36" s="262" t="inlineStr">
        <is>
          <t>55.0</t>
        </is>
      </c>
      <c r="H36" s="19" t="inlineStr">
        <is>
          <t>3 specimens: 81, 109, 134 µm — identical results</t>
        </is>
      </c>
    </row>
    <row r="37" ht="18" customHeight="1">
      <c r="B37" s="264" t="inlineStr">
        <is>
          <t>AISI 304 austenitic</t>
        </is>
      </c>
      <c r="C37" s="264" t="inlineStr">
        <is>
          <t>8,9</t>
        </is>
      </c>
      <c r="D37" s="264" t="inlineStr">
        <is>
          <t>7.69×10⁻³</t>
        </is>
      </c>
      <c r="E37" s="264" t="inlineStr">
        <is>
          <t>53.3</t>
        </is>
      </c>
      <c r="F37" s="264" t="inlineStr">
        <is>
          <t>2.60×10⁻⁵</t>
        </is>
      </c>
      <c r="G37" s="264" t="inlineStr">
        <is>
          <t>57.8</t>
        </is>
      </c>
      <c r="H37" s="264" t="inlineStr">
        <is>
          <t>97 µm annealed; T=200–350°C</t>
        </is>
      </c>
    </row>
    <row r="38" ht="18" customHeight="1">
      <c r="B38" s="262" t="inlineStr">
        <is>
          <t>AISI 310 austenitic</t>
        </is>
      </c>
      <c r="C38" s="262" t="inlineStr">
        <is>
          <t>12,13</t>
        </is>
      </c>
      <c r="D38" s="262" t="inlineStr">
        <is>
          <t>7.16×10⁻³</t>
        </is>
      </c>
      <c r="E38" s="262" t="inlineStr">
        <is>
          <t>53.0</t>
        </is>
      </c>
      <c r="F38" s="262" t="inlineStr">
        <is>
          <t>3.50×10⁻⁵</t>
        </is>
      </c>
      <c r="G38" s="262" t="inlineStr">
        <is>
          <t>58.5</t>
        </is>
      </c>
      <c r="H38" s="262" t="inlineStr">
        <is>
          <t>175 µm annealed; T=150–350°C</t>
        </is>
      </c>
    </row>
    <row r="39" ht="18" customHeight="1">
      <c r="B39" s="15" t="inlineStr">
        <is>
          <t>General austenitic SS (4 types)</t>
        </is>
      </c>
      <c r="C39" s="264" t="inlineStr">
        <is>
          <t>14,15</t>
        </is>
      </c>
      <c r="D39" s="264" t="inlineStr">
        <is>
          <t>2.01×10⁻³</t>
        </is>
      </c>
      <c r="E39" s="264" t="inlineStr">
        <is>
          <t>49.3</t>
        </is>
      </c>
      <c r="F39" s="264" t="inlineStr">
        <is>
          <t>1.20×10⁻⁵</t>
        </is>
      </c>
      <c r="G39" s="264" t="inlineStr">
        <is>
          <t>56.1</t>
        </is>
      </c>
      <c r="H39" s="15" t="inlineStr">
        <is>
          <t>Least-squares fit of 301+302+304+310; all data within factor 2</t>
        </is>
      </c>
    </row>
    <row r="40" ht="18" customHeight="1">
      <c r="B40" s="262" t="inlineStr">
        <is>
          <t>General austenitic SS — S</t>
        </is>
      </c>
      <c r="C40" s="262" t="inlineStr">
        <is>
          <t>16</t>
        </is>
      </c>
      <c r="D40" s="262" t="inlineStr">
        <is>
          <t>S₀=5.97×10⁻³</t>
        </is>
      </c>
      <c r="E40" s="262" t="inlineStr">
        <is>
          <t>6.86(ΔH_S)</t>
        </is>
      </c>
      <c r="F40" s="262" t="inlineStr">
        <is>
          <t>—</t>
        </is>
      </c>
      <c r="G40" s="262" t="inlineStr">
        <is>
          <t>—</t>
        </is>
      </c>
      <c r="H40" s="19" t="inlineStr">
        <is>
          <t>Eq.16: S = φ/D — effective solubility; cm³(STP)/(cm³·Pa¹/²)</t>
        </is>
      </c>
    </row>
    <row r="41" ht="18" customHeight="1">
      <c r="B41" s="264" t="inlineStr">
        <is>
          <t>AISI 310 — S</t>
        </is>
      </c>
      <c r="C41" s="264" t="inlineStr">
        <is>
          <t>17</t>
        </is>
      </c>
      <c r="D41" s="264" t="inlineStr">
        <is>
          <t>S₀=4.89×10⁻³</t>
        </is>
      </c>
      <c r="E41" s="264" t="inlineStr">
        <is>
          <t>5.47(ΔH_S)</t>
        </is>
      </c>
      <c r="F41" s="264" t="inlineStr">
        <is>
          <t>—</t>
        </is>
      </c>
      <c r="G41" s="264" t="inlineStr">
        <is>
          <t>—</t>
        </is>
      </c>
      <c r="H41" s="15" t="inlineStr">
        <is>
          <t>Also expressed: 3.04 exp(−5.47/RT) at.ppm/Pa¹/²</t>
        </is>
      </c>
    </row>
    <row r="42" ht="8" customHeight="1"/>
    <row r="43" ht="18" customHeight="1">
      <c r="B43" s="158" t="inlineStr">
        <is>
          <t>SI CONVERTED VALUES — annealed specimens only (database-ready)</t>
        </is>
      </c>
    </row>
    <row r="44" ht="22" customHeight="1">
      <c r="B44" s="159" t="inlineStr">
        <is>
          <t>Conversion: D[m²/s] = D[cm²/s]×1×10⁻⁴; Phi[mol/m/s/Pa⁰·⁵] = φ[cm³(STP)/cm/s/Pa¹/²]×4.462×10⁻³.  Gas is H₂ throughout — no isotope correction needed.</t>
        </is>
      </c>
    </row>
    <row r="45" ht="28" customHeight="1">
      <c r="B45" s="28" t="inlineStr">
        <is>
          <t>Material</t>
        </is>
      </c>
      <c r="C45" s="28" t="inlineStr">
        <is>
          <t>D₀ (m²/s)</t>
        </is>
      </c>
      <c r="D45" s="28" t="inlineStr">
        <is>
          <t>E_D (J/mol)</t>
        </is>
      </c>
      <c r="E45" s="28" t="inlineStr">
        <is>
          <t>Phi₀ (mol/m/s/Pa⁰·⁵)</t>
        </is>
      </c>
      <c r="F45" s="28" t="inlineStr">
        <is>
          <t>Q_p (J/mol)</t>
        </is>
      </c>
      <c r="G45" s="28" t="inlineStr">
        <is>
          <t>T range (K)</t>
        </is>
      </c>
    </row>
    <row r="46" ht="16" customHeight="1">
      <c r="B46" s="262" t="inlineStr">
        <is>
          <t>AL 29-4-2 (T&gt;170°C=443K)</t>
        </is>
      </c>
      <c r="C46" s="266" t="n">
        <v>6.4e-09</v>
      </c>
      <c r="D46" s="263" t="n">
        <v>7000</v>
      </c>
      <c r="E46" s="266" t="n">
        <v>9.8164e-09</v>
      </c>
      <c r="F46" s="263" t="n">
        <v>38400</v>
      </c>
      <c r="G46" s="262" t="inlineStr">
        <is>
          <t>443–623 K</t>
        </is>
      </c>
    </row>
    <row r="47" ht="16" customHeight="1">
      <c r="B47" s="264" t="inlineStr">
        <is>
          <t>AISI 301 annealed</t>
        </is>
      </c>
      <c r="C47" s="267" t="n">
        <v>1.3e-07</v>
      </c>
      <c r="D47" s="265" t="n">
        <v>49200</v>
      </c>
      <c r="E47" s="267" t="n">
        <v>2.213152e-08</v>
      </c>
      <c r="F47" s="265" t="n">
        <v>55000</v>
      </c>
      <c r="G47" s="264" t="inlineStr">
        <is>
          <t>373–623 K</t>
        </is>
      </c>
    </row>
    <row r="48" ht="16" customHeight="1">
      <c r="B48" s="262" t="inlineStr">
        <is>
          <t>AISI 304 annealed</t>
        </is>
      </c>
      <c r="C48" s="266" t="n">
        <v>7.69e-07</v>
      </c>
      <c r="D48" s="263" t="n">
        <v>53300</v>
      </c>
      <c r="E48" s="266" t="n">
        <v>1.16012e-07</v>
      </c>
      <c r="F48" s="263" t="n">
        <v>57800</v>
      </c>
      <c r="G48" s="262" t="inlineStr">
        <is>
          <t>473–623 K</t>
        </is>
      </c>
    </row>
    <row r="49" ht="16" customHeight="1">
      <c r="B49" s="264" t="inlineStr">
        <is>
          <t>AISI 310 annealed</t>
        </is>
      </c>
      <c r="C49" s="267" t="n">
        <v>7.16e-07</v>
      </c>
      <c r="D49" s="265" t="n">
        <v>53000</v>
      </c>
      <c r="E49" s="267" t="n">
        <v>1.5617e-07</v>
      </c>
      <c r="F49" s="265" t="n">
        <v>58500</v>
      </c>
      <c r="G49" s="264" t="inlineStr">
        <is>
          <t>423–623 K</t>
        </is>
      </c>
    </row>
    <row r="50" ht="16" customHeight="1">
      <c r="B50" s="262" t="inlineStr">
        <is>
          <t>General austenitic SS</t>
        </is>
      </c>
      <c r="C50" s="266" t="n">
        <v>2.01e-07</v>
      </c>
      <c r="D50" s="263" t="n">
        <v>49300</v>
      </c>
      <c r="E50" s="266" t="n">
        <v>5.3544e-08</v>
      </c>
      <c r="F50" s="263" t="n">
        <v>56100</v>
      </c>
      <c r="G50" s="262" t="inlineStr">
        <is>
          <t>373–623 K</t>
        </is>
      </c>
    </row>
    <row r="51" ht="8" customHeight="1"/>
    <row r="52" ht="18" customHeight="1">
      <c r="B52" s="158" t="inlineStr">
        <is>
          <t>TABLE 2 — AISI 301 Deformed Specimens (as printed)</t>
        </is>
      </c>
    </row>
    <row r="53" ht="22" customHeight="1">
      <c r="B53" s="159" t="inlineStr">
        <is>
          <t>D₀ in cm²/s; φ₀ in cm³(STP)/(cm·s·Pa¹/²); energies in kJ/mol.  α' = stress-induced b.c.c. martensite. Break in D curve noted for 37.5% and 67.5% deformation.</t>
        </is>
      </c>
    </row>
    <row r="54" ht="28" customHeight="1">
      <c r="B54" s="28" t="inlineStr">
        <is>
          <t>Deformation (%) / α' (%)</t>
        </is>
      </c>
      <c r="C54" s="28" t="inlineStr">
        <is>
          <t>D₀ (cm²/s)</t>
        </is>
      </c>
      <c r="D54" s="28" t="inlineStr">
        <is>
          <t>ΔH_D (kJ/mol)</t>
        </is>
      </c>
      <c r="E54" s="28" t="inlineStr">
        <is>
          <t>φ₀ (cm³(STP)/cm·s·Pa¹/²)</t>
        </is>
      </c>
      <c r="F54" s="28" t="inlineStr">
        <is>
          <t>ΔH_φ (kJ/mol)</t>
        </is>
      </c>
      <c r="G54" s="28" t="inlineStr">
        <is>
          <t>Notes</t>
        </is>
      </c>
    </row>
    <row r="55" ht="16" customHeight="1">
      <c r="B55" s="262" t="inlineStr">
        <is>
          <t>0 (0)</t>
        </is>
      </c>
      <c r="C55" s="262" t="inlineStr">
        <is>
          <t>1.30×10⁻³</t>
        </is>
      </c>
      <c r="D55" s="262" t="inlineStr">
        <is>
          <t>49.2</t>
        </is>
      </c>
      <c r="E55" s="262" t="inlineStr">
        <is>
          <t>4.96×10⁻⁶</t>
        </is>
      </c>
      <c r="F55" s="262" t="inlineStr">
        <is>
          <t>55.0</t>
        </is>
      </c>
      <c r="G55" s="19" t="inlineStr">
        <is>
          <t>Annealed — 3 specimens same result</t>
        </is>
      </c>
    </row>
    <row r="56" ht="16" customHeight="1">
      <c r="B56" s="264" t="inlineStr">
        <is>
          <t>24 (38.5)</t>
        </is>
      </c>
      <c r="C56" s="264" t="inlineStr">
        <is>
          <t>8.67×10⁻⁴</t>
        </is>
      </c>
      <c r="D56" s="264" t="inlineStr">
        <is>
          <t>42.5</t>
        </is>
      </c>
      <c r="E56" s="264" t="inlineStr">
        <is>
          <t>2.01×10⁻⁶</t>
        </is>
      </c>
      <c r="F56" s="264" t="inlineStr">
        <is>
          <t>47.4</t>
        </is>
      </c>
      <c r="G56" s="264" t="inlineStr"/>
    </row>
    <row r="57" ht="16" customHeight="1">
      <c r="B57" s="262" t="inlineStr">
        <is>
          <t>37 (63.5)</t>
        </is>
      </c>
      <c r="C57" s="262" t="inlineStr">
        <is>
          <t>2.70×10⁻³</t>
        </is>
      </c>
      <c r="D57" s="262" t="inlineStr">
        <is>
          <t>39.3</t>
        </is>
      </c>
      <c r="E57" s="262" t="inlineStr">
        <is>
          <t>6.00×10⁻⁶</t>
        </is>
      </c>
      <c r="F57" s="262" t="inlineStr">
        <is>
          <t>45.4</t>
        </is>
      </c>
      <c r="G57" s="262" t="inlineStr"/>
    </row>
    <row r="58" ht="16" customHeight="1">
      <c r="B58" s="264" t="inlineStr">
        <is>
          <t>37.5 (65) T≥200°C</t>
        </is>
      </c>
      <c r="C58" s="264" t="inlineStr">
        <is>
          <t>3.10×10⁻³</t>
        </is>
      </c>
      <c r="D58" s="264" t="inlineStr">
        <is>
          <t>40.1</t>
        </is>
      </c>
      <c r="E58" s="264" t="inlineStr">
        <is>
          <t>4.46×10⁻⁶</t>
        </is>
      </c>
      <c r="F58" s="264" t="inlineStr">
        <is>
          <t>44.6</t>
        </is>
      </c>
      <c r="G58" s="264" t="inlineStr">
        <is>
          <t>Break in D curve at ~200°C</t>
        </is>
      </c>
    </row>
    <row r="59" ht="16" customHeight="1">
      <c r="B59" s="262" t="inlineStr">
        <is>
          <t>37.5 (65) T&lt;200°C</t>
        </is>
      </c>
      <c r="C59" s="262" t="inlineStr">
        <is>
          <t>1.25×10⁻²</t>
        </is>
      </c>
      <c r="D59" s="262" t="inlineStr">
        <is>
          <t>45.6</t>
        </is>
      </c>
      <c r="E59" s="262" t="inlineStr">
        <is>
          <t>—</t>
        </is>
      </c>
      <c r="F59" s="262" t="inlineStr">
        <is>
          <t>—</t>
        </is>
      </c>
      <c r="G59" s="262" t="inlineStr"/>
    </row>
    <row r="60" ht="16" customHeight="1">
      <c r="B60" s="264" t="inlineStr">
        <is>
          <t>67.5 (86.5) T≥200°C</t>
        </is>
      </c>
      <c r="C60" s="264" t="inlineStr">
        <is>
          <t>4.60×10⁻³</t>
        </is>
      </c>
      <c r="D60" s="264" t="inlineStr">
        <is>
          <t>34.8</t>
        </is>
      </c>
      <c r="E60" s="264" t="inlineStr">
        <is>
          <t>5.50×10⁻⁶</t>
        </is>
      </c>
      <c r="F60" s="264" t="inlineStr">
        <is>
          <t>40.2</t>
        </is>
      </c>
      <c r="G60" s="264" t="inlineStr">
        <is>
          <t>Break in D curve at ~200°C</t>
        </is>
      </c>
    </row>
    <row r="61" ht="16" customHeight="1">
      <c r="B61" s="262" t="inlineStr">
        <is>
          <t>67.5 (86.5) T&lt;200°C</t>
        </is>
      </c>
      <c r="C61" s="262" t="inlineStr">
        <is>
          <t>1.64×10⁻¹</t>
        </is>
      </c>
      <c r="D61" s="262" t="inlineStr">
        <is>
          <t>48.8</t>
        </is>
      </c>
      <c r="E61" s="262" t="inlineStr">
        <is>
          <t>—</t>
        </is>
      </c>
      <c r="F61" s="262" t="inlineStr">
        <is>
          <t>—</t>
        </is>
      </c>
      <c r="G61" s="19" t="inlineStr">
        <is>
          <t>High dislocation density trapping</t>
        </is>
      </c>
    </row>
    <row r="62" ht="8" customHeight="1"/>
    <row r="63" ht="18" customHeight="1">
      <c r="B63" s="158" t="inlineStr">
        <is>
          <t>TABLE 3 — AISI 310 Deformed Specimens (as printed)</t>
        </is>
      </c>
    </row>
    <row r="64" ht="22" customHeight="1">
      <c r="B64" s="159" t="inlineStr">
        <is>
          <t>No α' phase formed in any AISI 310 specimen up to 80% deformation.  S₀ in at.ppm/Pa¹/². Thicknesses: 0%=175µm, 30%=188µm, 60%=187µm, 80%=82µm.</t>
        </is>
      </c>
    </row>
    <row r="65" ht="28" customHeight="1">
      <c r="B65" s="28" t="inlineStr">
        <is>
          <t>Deformation (%)</t>
        </is>
      </c>
      <c r="C65" s="28" t="inlineStr">
        <is>
          <t>D₀ (cm²/s)</t>
        </is>
      </c>
      <c r="D65" s="28" t="inlineStr">
        <is>
          <t>ΔH_D (kJ/mol)</t>
        </is>
      </c>
      <c r="E65" s="28" t="inlineStr">
        <is>
          <t>φ₀ (cm³(STP)/cm·s·Pa¹/²)</t>
        </is>
      </c>
      <c r="F65" s="28" t="inlineStr">
        <is>
          <t>ΔH_φ (kJ/mol)</t>
        </is>
      </c>
      <c r="G65" s="28" t="inlineStr">
        <is>
          <t>S₀ (at.ppm/Pa¹/²)</t>
        </is>
      </c>
      <c r="H65" s="28" t="inlineStr">
        <is>
          <t>ΔH_S (kJ/mol)</t>
        </is>
      </c>
    </row>
    <row r="66" ht="16" customHeight="1">
      <c r="B66" s="263" t="n">
        <v>0</v>
      </c>
      <c r="C66" s="262" t="inlineStr">
        <is>
          <t>7.16×10⁻³</t>
        </is>
      </c>
      <c r="D66" s="262" t="inlineStr">
        <is>
          <t>53.0</t>
        </is>
      </c>
      <c r="E66" s="262" t="inlineStr">
        <is>
          <t>3.50×10⁻⁵</t>
        </is>
      </c>
      <c r="F66" s="262" t="inlineStr">
        <is>
          <t>58.5</t>
        </is>
      </c>
      <c r="G66" s="262" t="inlineStr">
        <is>
          <t>3.04</t>
        </is>
      </c>
      <c r="H66" s="262" t="inlineStr">
        <is>
          <t>5.47</t>
        </is>
      </c>
    </row>
    <row r="67" ht="16" customHeight="1">
      <c r="B67" s="265" t="n">
        <v>30</v>
      </c>
      <c r="C67" s="264" t="inlineStr">
        <is>
          <t>7.45×10⁻³</t>
        </is>
      </c>
      <c r="D67" s="264" t="inlineStr">
        <is>
          <t>52.8</t>
        </is>
      </c>
      <c r="E67" s="264" t="inlineStr">
        <is>
          <t>3.30×10⁻⁵</t>
        </is>
      </c>
      <c r="F67" s="264" t="inlineStr">
        <is>
          <t>57.3</t>
        </is>
      </c>
      <c r="G67" s="264" t="inlineStr">
        <is>
          <t>2.75</t>
        </is>
      </c>
      <c r="H67" s="264" t="inlineStr">
        <is>
          <t>4.52</t>
        </is>
      </c>
    </row>
    <row r="68" ht="16" customHeight="1">
      <c r="B68" s="263" t="n">
        <v>60</v>
      </c>
      <c r="C68" s="262" t="inlineStr">
        <is>
          <t>3.70×10⁻³</t>
        </is>
      </c>
      <c r="D68" s="262" t="inlineStr">
        <is>
          <t>52.6</t>
        </is>
      </c>
      <c r="E68" s="262" t="inlineStr">
        <is>
          <t>3.09×10⁻⁵</t>
        </is>
      </c>
      <c r="F68" s="262" t="inlineStr">
        <is>
          <t>58.7</t>
        </is>
      </c>
      <c r="G68" s="262" t="inlineStr">
        <is>
          <t>5.19</t>
        </is>
      </c>
      <c r="H68" s="262" t="inlineStr">
        <is>
          <t>6.15</t>
        </is>
      </c>
    </row>
    <row r="69" ht="16" customHeight="1">
      <c r="B69" s="265" t="n">
        <v>80</v>
      </c>
      <c r="C69" s="264" t="inlineStr">
        <is>
          <t>3.48×10⁻³</t>
        </is>
      </c>
      <c r="D69" s="264" t="inlineStr">
        <is>
          <t>52.8</t>
        </is>
      </c>
      <c r="E69" s="264" t="inlineStr">
        <is>
          <t>3.30×10⁻⁵</t>
        </is>
      </c>
      <c r="F69" s="264" t="inlineStr">
        <is>
          <t>59.1</t>
        </is>
      </c>
      <c r="G69" s="264" t="inlineStr">
        <is>
          <t>5.89</t>
        </is>
      </c>
      <c r="H69" s="264" t="inlineStr">
        <is>
          <t>6.33</t>
        </is>
      </c>
    </row>
    <row r="70" ht="8" customHeight="1"/>
    <row r="71" ht="18" customHeight="1">
      <c r="B71" s="158" t="inlineStr">
        <is>
          <t>TABLE 4 — AISI 310 Trapping Parameters at P_H₂ = 1 atm (as printed)</t>
        </is>
      </c>
    </row>
    <row r="72" ht="22" customHeight="1">
      <c r="B72" s="159" t="inlineStr">
        <is>
          <t>C_T = total H concentration; C_T' in 10¹⁹ H/cm³; trapped fraction = (C_T' − C_0')/C_T'.  C_0' at 573K = 2.66×10¹⁹, at 423K = 1.77×10¹⁹ H/cm³.</t>
        </is>
      </c>
    </row>
    <row r="73" ht="28" customHeight="1">
      <c r="B73" s="28" t="inlineStr">
        <is>
          <t>Deformation (%)</t>
        </is>
      </c>
      <c r="C73" s="28" t="inlineStr">
        <is>
          <t>T (K)</t>
        </is>
      </c>
      <c r="D73" s="28" t="inlineStr">
        <is>
          <t>C_T (at.ppm)</t>
        </is>
      </c>
      <c r="E73" s="28" t="inlineStr">
        <is>
          <t>C_T' (10¹⁹ H/cm³)</t>
        </is>
      </c>
      <c r="F73" s="28" t="inlineStr">
        <is>
          <t>C_T'−C_0' (10¹⁹ H/cm³)</t>
        </is>
      </c>
      <c r="G73" s="28" t="inlineStr">
        <is>
          <t>Fraction in traps</t>
        </is>
      </c>
    </row>
    <row r="74" ht="16" customHeight="1">
      <c r="B74" s="263" t="n">
        <v>0</v>
      </c>
      <c r="C74" s="263" t="n">
        <v>573</v>
      </c>
      <c r="D74" s="263" t="n">
        <v>307</v>
      </c>
      <c r="E74" s="263" t="n">
        <v>2.66</v>
      </c>
      <c r="F74" s="262" t="inlineStr">
        <is>
          <t>—</t>
        </is>
      </c>
      <c r="G74" s="262" t="inlineStr">
        <is>
          <t>—</t>
        </is>
      </c>
    </row>
    <row r="75" ht="16" customHeight="1">
      <c r="B75" s="265" t="n">
        <v>30</v>
      </c>
      <c r="C75" s="265" t="n">
        <v>573</v>
      </c>
      <c r="D75" s="265" t="n">
        <v>340</v>
      </c>
      <c r="E75" s="265" t="n">
        <v>2.95</v>
      </c>
      <c r="F75" s="265" t="n">
        <v>0.3</v>
      </c>
      <c r="G75" s="265" t="n">
        <v>0.1</v>
      </c>
    </row>
    <row r="76" ht="16" customHeight="1">
      <c r="B76" s="263" t="n">
        <v>60</v>
      </c>
      <c r="C76" s="263" t="n">
        <v>573</v>
      </c>
      <c r="D76" s="263" t="n">
        <v>456</v>
      </c>
      <c r="E76" s="263" t="n">
        <v>3.95</v>
      </c>
      <c r="F76" s="263" t="n">
        <v>1.3</v>
      </c>
      <c r="G76" s="263" t="n">
        <v>0.33</v>
      </c>
    </row>
    <row r="77" ht="16" customHeight="1">
      <c r="B77" s="265" t="n">
        <v>80</v>
      </c>
      <c r="C77" s="265" t="n">
        <v>573</v>
      </c>
      <c r="D77" s="265" t="n">
        <v>498</v>
      </c>
      <c r="E77" s="265" t="n">
        <v>4.31</v>
      </c>
      <c r="F77" s="265" t="n">
        <v>1.6</v>
      </c>
      <c r="G77" s="265" t="n">
        <v>0.38</v>
      </c>
    </row>
    <row r="78" ht="16" customHeight="1">
      <c r="B78" s="263" t="n">
        <v>0</v>
      </c>
      <c r="C78" s="263" t="n">
        <v>423</v>
      </c>
      <c r="D78" s="263" t="n">
        <v>205</v>
      </c>
      <c r="E78" s="263" t="n">
        <v>1.77</v>
      </c>
      <c r="F78" s="262" t="inlineStr">
        <is>
          <t>—</t>
        </is>
      </c>
      <c r="G78" s="262" t="inlineStr">
        <is>
          <t>—</t>
        </is>
      </c>
    </row>
    <row r="79" ht="16" customHeight="1">
      <c r="B79" s="265" t="n">
        <v>30</v>
      </c>
      <c r="C79" s="265" t="n">
        <v>423</v>
      </c>
      <c r="D79" s="265" t="n">
        <v>244</v>
      </c>
      <c r="E79" s="265" t="n">
        <v>2.11</v>
      </c>
      <c r="F79" s="265" t="n">
        <v>0.34</v>
      </c>
      <c r="G79" s="265" t="n">
        <v>0.16</v>
      </c>
    </row>
    <row r="80" ht="16" customHeight="1">
      <c r="B80" s="263" t="n">
        <v>60</v>
      </c>
      <c r="C80" s="263" t="n">
        <v>423</v>
      </c>
      <c r="D80" s="263" t="n">
        <v>293</v>
      </c>
      <c r="E80" s="263" t="n">
        <v>2.53</v>
      </c>
      <c r="F80" s="263" t="n">
        <v>0.76</v>
      </c>
      <c r="G80" s="263" t="n">
        <v>0.3</v>
      </c>
    </row>
    <row r="81" ht="16" customHeight="1">
      <c r="B81" s="265" t="n">
        <v>80</v>
      </c>
      <c r="C81" s="265" t="n">
        <v>423</v>
      </c>
      <c r="D81" s="265" t="n">
        <v>311</v>
      </c>
      <c r="E81" s="265" t="n">
        <v>2.69</v>
      </c>
      <c r="F81" s="265" t="n">
        <v>0.92</v>
      </c>
      <c r="G81" s="265" t="n">
        <v>0.34</v>
      </c>
    </row>
    <row r="82" ht="8" customHeight="1"/>
    <row r="83" ht="18" customHeight="1">
      <c r="B83" s="158" t="inlineStr">
        <is>
          <t>TABLE 5 — AISI 301 Effective H Solubility at 200°C and 300°C (as printed)</t>
        </is>
      </c>
    </row>
    <row r="84" ht="18" customHeight="1">
      <c r="B84" s="159" t="inlineStr">
        <is>
          <t>Units: at.ppm at P_H₂ = 1 atm. Solubility decreases with increasing α' content (α' accommodates less H than γ phase).</t>
        </is>
      </c>
    </row>
    <row r="85" ht="28" customHeight="1">
      <c r="B85" s="28" t="inlineStr">
        <is>
          <t>Deformation (%)</t>
        </is>
      </c>
      <c r="C85" s="28" t="inlineStr">
        <is>
          <t>α' (%)</t>
        </is>
      </c>
      <c r="D85" s="28" t="inlineStr">
        <is>
          <t>C at 200°C (at.ppm)</t>
        </is>
      </c>
      <c r="E85" s="28" t="inlineStr">
        <is>
          <t>C at 300°C (at.ppm)</t>
        </is>
      </c>
    </row>
    <row r="86" ht="16" customHeight="1">
      <c r="B86" s="263" t="n">
        <v>0</v>
      </c>
      <c r="C86" s="263" t="n">
        <v>0</v>
      </c>
      <c r="D86" s="263" t="n">
        <v>173</v>
      </c>
      <c r="E86" s="263" t="n">
        <v>223</v>
      </c>
    </row>
    <row r="87" ht="16" customHeight="1">
      <c r="B87" s="265" t="n">
        <v>24</v>
      </c>
      <c r="C87" s="265" t="n">
        <v>38.5</v>
      </c>
      <c r="D87" s="265" t="n">
        <v>132</v>
      </c>
      <c r="E87" s="265" t="n">
        <v>164</v>
      </c>
    </row>
    <row r="88" ht="16" customHeight="1">
      <c r="B88" s="263" t="n">
        <v>37</v>
      </c>
      <c r="C88" s="263" t="n">
        <v>63.5</v>
      </c>
      <c r="D88" s="263" t="n">
        <v>93</v>
      </c>
      <c r="E88" s="263" t="n">
        <v>122</v>
      </c>
    </row>
    <row r="89" ht="16" customHeight="1">
      <c r="B89" s="265" t="n">
        <v>37.5</v>
      </c>
      <c r="C89" s="265" t="n">
        <v>65</v>
      </c>
      <c r="D89" s="265" t="n">
        <v>91</v>
      </c>
      <c r="E89" s="265" t="n">
        <v>111</v>
      </c>
    </row>
    <row r="90" ht="16" customHeight="1">
      <c r="B90" s="263" t="n">
        <v>67.5</v>
      </c>
      <c r="C90" s="263" t="n">
        <v>86.5</v>
      </c>
      <c r="D90" s="263" t="n">
        <v>60</v>
      </c>
      <c r="E90" s="263" t="n">
        <v>76</v>
      </c>
    </row>
    <row r="91" ht="8" customHeight="1"/>
    <row r="92" ht="18" customHeight="1">
      <c r="B92" s="158" t="inlineStr">
        <is>
          <t>KEY QUANTITATIVE STATEMENTS FROM TEXT</t>
        </is>
      </c>
    </row>
    <row r="93" ht="28" customHeight="1">
      <c r="B93" s="28" t="inlineStr">
        <is>
          <t>Finding</t>
        </is>
      </c>
      <c r="C93" s="28" t="inlineStr">
        <is>
          <t>Value</t>
        </is>
      </c>
      <c r="D93" s="28" t="inlineStr">
        <is>
          <t>Notes</t>
        </is>
      </c>
    </row>
    <row r="94" ht="18" customHeight="1">
      <c r="B94" s="19" t="inlineStr">
        <is>
          <t>AL 29-4-2 diffusivity vs pure α-Fe</t>
        </is>
      </c>
      <c r="C94" s="262" t="inlineStr">
        <is>
          <t>20–30× lower (T&gt;170°C)</t>
        </is>
      </c>
      <c r="D94" s="19" t="inlineStr">
        <is>
          <t>Same E_A = 7 kJ/mol as α-Fe [Ref 16]</t>
        </is>
      </c>
    </row>
    <row r="95" ht="18" customHeight="1">
      <c r="B95" s="15" t="inlineStr">
        <is>
          <t>AL 29-4-2 permeability vs pure α-Fe</t>
        </is>
      </c>
      <c r="C95" s="264" t="inlineStr">
        <is>
          <t>10–15× lower</t>
        </is>
      </c>
      <c r="D95" s="264" t="inlineStr">
        <is>
          <t>Due to high alloying</t>
        </is>
      </c>
    </row>
    <row r="96" ht="18" customHeight="1">
      <c r="B96" s="19" t="inlineStr">
        <is>
          <t>Break temperature in AL 29-4-2 D</t>
        </is>
      </c>
      <c r="C96" s="262" t="inlineStr">
        <is>
          <t>~170°C (443 K)</t>
        </is>
      </c>
      <c r="D96" s="262" t="inlineStr">
        <is>
          <t>Attributed to trapping effects</t>
        </is>
      </c>
    </row>
    <row r="97" ht="18" customHeight="1">
      <c r="B97" s="15" t="inlineStr">
        <is>
          <t>AISI 310 permeability: deformed vs annealed</t>
        </is>
      </c>
      <c r="C97" s="264" t="inlineStr">
        <is>
          <t>&lt;25% difference</t>
        </is>
      </c>
      <c r="D97" s="15" t="inlineStr">
        <is>
          <t>No α' formed — deformation alone minimal effect</t>
        </is>
      </c>
    </row>
    <row r="98" ht="18" customHeight="1">
      <c r="B98" s="19" t="inlineStr">
        <is>
          <t>AISI 310 diffusivity: 60+80% vs 0+30%</t>
        </is>
      </c>
      <c r="C98" s="262" t="inlineStr">
        <is>
          <t>~factor 2 lower</t>
        </is>
      </c>
      <c r="D98" s="19" t="inlineStr">
        <is>
          <t>Attributed to dislocation trapping</t>
        </is>
      </c>
    </row>
    <row r="99" ht="18" customHeight="1">
      <c r="B99" s="15" t="inlineStr">
        <is>
          <t>AISI 301 with 86.5% α': D enhancement</t>
        </is>
      </c>
      <c r="C99" s="264" t="inlineStr">
        <is>
          <t>Up to 2 orders of magnitude</t>
        </is>
      </c>
      <c r="D99" s="264" t="inlineStr">
        <is>
          <t>Relative to annealed AISI 301</t>
        </is>
      </c>
    </row>
    <row r="100" ht="18" customHeight="1">
      <c r="B100" s="19" t="inlineStr">
        <is>
          <t>H₂ binding energy to dislocations (f.c.c.)</t>
        </is>
      </c>
      <c r="C100" s="262" t="inlineStr">
        <is>
          <t>9.6–13.5 kJ/mol</t>
        </is>
      </c>
      <c r="D100" s="19" t="inlineStr">
        <is>
          <t>Thomas [Ref 41] — elastic interaction</t>
        </is>
      </c>
    </row>
    <row r="101" ht="18" customHeight="1">
      <c r="B101" s="15" t="inlineStr">
        <is>
          <t>Trap site density N_x (deformed 310)</t>
        </is>
      </c>
      <c r="C101" s="264" t="inlineStr">
        <is>
          <t>0.5–5.0×10²¹ cm⁻³</t>
        </is>
      </c>
      <c r="D101" s="15" t="inlineStr">
        <is>
          <t>Estimated assuming 12 kJ/mol binding energy</t>
        </is>
      </c>
    </row>
    <row r="102" ht="18" customHeight="1">
      <c r="B102" s="19" t="inlineStr">
        <is>
          <t>All austenitic SS data within factor of</t>
        </is>
      </c>
      <c r="C102" s="262" t="inlineStr">
        <is>
          <t>2</t>
        </is>
      </c>
      <c r="D102" s="262" t="inlineStr">
        <is>
          <t>From general fit Eqs 14–15</t>
        </is>
      </c>
    </row>
    <row r="103" ht="18" customHeight="1">
      <c r="B103" s="264" t="inlineStr">
        <is>
          <t>AISI 302 data</t>
        </is>
      </c>
      <c r="C103" s="264" t="inlineStr">
        <is>
          <t>Included in general fit only</t>
        </is>
      </c>
      <c r="D103" s="15" t="inlineStr">
        <is>
          <t>From separate study [Ref 23] — same apparatus</t>
        </is>
      </c>
    </row>
    <row r="104" ht="18" customHeight="1">
      <c r="B104" s="19" t="inlineStr">
        <is>
          <t>Assumed D_martensite for McLachlan model</t>
        </is>
      </c>
      <c r="C104" s="262" t="inlineStr">
        <is>
          <t>1.5×10⁻⁶ cm²/s</t>
        </is>
      </c>
      <c r="D104" s="262" t="inlineStr">
        <is>
          <t>At 200°C; fitted parameter</t>
        </is>
      </c>
    </row>
    <row r="105" ht="18" customHeight="1">
      <c r="B105" s="264" t="inlineStr">
        <is>
          <t>Measured D_austenite at 200°C</t>
        </is>
      </c>
      <c r="C105" s="264" t="inlineStr">
        <is>
          <t>4.79×10⁻⁹ cm²/s</t>
        </is>
      </c>
      <c r="D105" s="15" t="inlineStr">
        <is>
          <t>From 67.5% deformed 301 high-T region</t>
        </is>
      </c>
    </row>
    <row r="106" ht="18" customHeight="1">
      <c r="B106" s="19" t="inlineStr">
        <is>
          <t>Estimated φ for 100% α' AISI 301</t>
        </is>
      </c>
      <c r="C106" s="262" t="inlineStr">
        <is>
          <t>~5×10⁻¹⁰ cm³/(cm²·s·Pa¹/²)</t>
        </is>
      </c>
      <c r="D106" s="19" t="inlineStr">
        <is>
          <t>Factor 4 &gt; AL 29-4-2 — alloy content effect</t>
        </is>
      </c>
    </row>
    <row r="107" ht="12" customHeight="1"/>
  </sheetData>
  <mergeCells count="18">
    <mergeCell ref="B32:H32"/>
    <mergeCell ref="B84:H84"/>
    <mergeCell ref="B18:H18"/>
    <mergeCell ref="B1:H1"/>
    <mergeCell ref="B71:H71"/>
    <mergeCell ref="B52:H52"/>
    <mergeCell ref="B44:H44"/>
    <mergeCell ref="B53:H53"/>
    <mergeCell ref="B43:H43"/>
    <mergeCell ref="B83:H83"/>
    <mergeCell ref="B92:H92"/>
    <mergeCell ref="B2:H2"/>
    <mergeCell ref="B64:H64"/>
    <mergeCell ref="B63:H63"/>
    <mergeCell ref="B72:H72"/>
    <mergeCell ref="B3:H3"/>
    <mergeCell ref="B5:H5"/>
    <mergeCell ref="B31:H3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B1:G57"/>
  <sheetViews>
    <sheetView showGridLines="0" workbookViewId="0">
      <selection activeCell="A1" sqref="A1"/>
    </sheetView>
  </sheetViews>
  <sheetFormatPr baseColWidth="8" defaultRowHeight="15"/>
  <cols>
    <col width="3" customWidth="1" min="1" max="1"/>
    <col width="26" customWidth="1" min="2" max="2"/>
    <col width="20" customWidth="1" min="3" max="3"/>
    <col width="18" customWidth="1" min="4" max="4"/>
    <col width="16" customWidth="1" min="5" max="5"/>
    <col width="18" customWidth="1" min="6" max="6"/>
    <col width="28" customWidth="1" min="7" max="7"/>
  </cols>
  <sheetData>
    <row r="1" ht="26" customHeight="1">
      <c r="B1" s="157" t="inlineStr">
        <is>
          <t>Grant et al. 1988 — Raw Data Extraction</t>
        </is>
      </c>
    </row>
    <row r="2" ht="28" customHeight="1">
      <c r="B2" s="156" t="inlineStr">
        <is>
          <t>Grant DM, Cummings DL, Blackburn DA. "Hydrogen in 316 steel — Diffusion, Permeation and Surface Reaction." J. Nucl. Mater. 152 (1988) 139–145. DOI: 10.1016/0022-3115(88)90128-7  |  Gas: H₂. T range: 502–863 K (229–590°C).  Technique: pressure modulation (harmonic pressure variation) — not time-lag.</t>
        </is>
      </c>
    </row>
    <row r="3" ht="18" customHeight="1">
      <c r="B3" s="249" t="inlineStr">
        <is>
          <t>NOTE: All data already in Metals_Bulk (row 39) and Metals_SurfKin (rows 4–6). This sheet provides the primary source traceability record.</t>
        </is>
      </c>
    </row>
    <row r="4" ht="8" customHeight="1"/>
    <row r="5" ht="18" customHeight="1">
      <c r="B5" s="158" t="inlineStr">
        <is>
          <t>SPECIMEN AND EXPERIMENTAL DETAILS</t>
        </is>
      </c>
    </row>
    <row r="6" ht="28" customHeight="1">
      <c r="B6" s="28" t="inlineStr">
        <is>
          <t>Parameter</t>
        </is>
      </c>
      <c r="C6" s="28" t="inlineStr">
        <is>
          <t>Value</t>
        </is>
      </c>
      <c r="D6" s="28" t="inlineStr">
        <is>
          <t>Notes</t>
        </is>
      </c>
    </row>
    <row r="7" ht="16" customHeight="1">
      <c r="B7" s="262" t="inlineStr">
        <is>
          <t>Material</t>
        </is>
      </c>
      <c r="C7" s="262" t="inlineStr">
        <is>
          <t>316 austenitic stainless steel</t>
        </is>
      </c>
      <c r="D7" s="262" t="inlineStr"/>
    </row>
    <row r="8" ht="16" customHeight="1">
      <c r="B8" s="264" t="inlineStr">
        <is>
          <t>Specimen geometry</t>
        </is>
      </c>
      <c r="C8" s="264" t="inlineStr">
        <is>
          <t>Foil, circular</t>
        </is>
      </c>
      <c r="D8" s="15" t="inlineStr">
        <is>
          <t>Area γ stated but not quantified in main text</t>
        </is>
      </c>
    </row>
    <row r="9" ht="16" customHeight="1">
      <c r="B9" s="262" t="inlineStr">
        <is>
          <t>Thicknesses used</t>
        </is>
      </c>
      <c r="C9" s="262" t="inlineStr">
        <is>
          <t>0.05 mm and 0.10 mm</t>
        </is>
      </c>
      <c r="D9" s="262">
        <f> 5×10⁻⁵ m and 1×10⁻⁴ m</f>
        <v/>
      </c>
    </row>
    <row r="10" ht="16" customHeight="1">
      <c r="B10" s="264" t="inlineStr">
        <is>
          <t>Gas</t>
        </is>
      </c>
      <c r="C10" s="264" t="inlineStr">
        <is>
          <t>H₂</t>
        </is>
      </c>
      <c r="D10" s="264" t="inlineStr"/>
    </row>
    <row r="11" ht="16" customHeight="1">
      <c r="B11" s="262" t="inlineStr">
        <is>
          <t>Temperature range</t>
        </is>
      </c>
      <c r="C11" s="262" t="inlineStr">
        <is>
          <t>502–863 K (229–590°C)</t>
        </is>
      </c>
      <c r="D11" s="262" t="inlineStr">
        <is>
          <t>From Eqs 12-13 text</t>
        </is>
      </c>
    </row>
    <row r="12" ht="16" customHeight="1">
      <c r="B12" s="264" t="inlineStr">
        <is>
          <t>Upstream pressure range</t>
        </is>
      </c>
      <c r="C12" s="264" t="inlineStr">
        <is>
          <t>10¹–10⁴ Pa</t>
        </is>
      </c>
      <c r="D12" s="264" t="inlineStr">
        <is>
          <t>Equipment range stated</t>
        </is>
      </c>
    </row>
    <row r="13" ht="16" customHeight="1">
      <c r="B13" s="262" t="inlineStr">
        <is>
          <t>Phase modulation range</t>
        </is>
      </c>
      <c r="C13" s="262" t="inlineStr">
        <is>
          <t>10⁻² to 10⁴ Pa (full response)</t>
        </is>
      </c>
      <c r="D13" s="262" t="inlineStr">
        <is>
          <t>6 orders of magnitude in total</t>
        </is>
      </c>
    </row>
    <row r="14" ht="16" customHeight="1">
      <c r="B14" s="264" t="inlineStr">
        <is>
          <t>Frequencies used</t>
        </is>
      </c>
      <c r="C14" s="264" t="inlineStr">
        <is>
          <t>101, 357, 625 mHz</t>
        </is>
      </c>
      <c r="D14" s="264" t="inlineStr">
        <is>
          <t>From Figs 3 and 4</t>
        </is>
      </c>
    </row>
    <row r="15" ht="16" customHeight="1">
      <c r="B15" s="262" t="inlineStr">
        <is>
          <t>Technique</t>
        </is>
      </c>
      <c r="C15" s="262" t="inlineStr">
        <is>
          <t>Pressure modulation (harmonic)</t>
        </is>
      </c>
      <c r="D15" s="19" t="inlineStr">
        <is>
          <t>Simultaneous D, Pm, k1 from Φ and |R|⁻¹ vs ω¹/²</t>
        </is>
      </c>
    </row>
    <row r="16" ht="16" customHeight="1">
      <c r="B16" s="264" t="inlineStr">
        <is>
          <t>Surface treatment 1</t>
        </is>
      </c>
      <c r="C16" s="264" t="inlineStr">
        <is>
          <t>Ion beam cleaned (IBC)</t>
        </is>
      </c>
      <c r="D16" s="15" t="inlineStr">
        <is>
          <t>Chem. clean + H ion beam 4 kV, 5×10⁻² A/m², 100 h; both sides</t>
        </is>
      </c>
    </row>
    <row r="17" ht="16" customHeight="1">
      <c r="B17" s="262" t="inlineStr">
        <is>
          <t>Surface treatment 2</t>
        </is>
      </c>
      <c r="C17" s="262" t="inlineStr">
        <is>
          <t>Oxidized</t>
        </is>
      </c>
      <c r="D17" s="19" t="inlineStr">
        <is>
          <t>IBC then baked in air 0.1 kPa, 973 K, 12 h; both sides</t>
        </is>
      </c>
    </row>
    <row r="18" ht="16" customHeight="1">
      <c r="B18" s="264" t="inlineStr">
        <is>
          <t>Surface treatment 3</t>
        </is>
      </c>
      <c r="C18" s="264" t="inlineStr">
        <is>
          <t>Partial IBC (intermediate)</t>
        </is>
      </c>
      <c r="D18" s="15" t="inlineStr">
        <is>
          <t>Chem. clean + H ion beam 24 h only; first specimen, unstable</t>
        </is>
      </c>
    </row>
    <row r="19" ht="16" customHeight="1">
      <c r="B19" s="262" t="inlineStr">
        <is>
          <t>Analysis constraint</t>
        </is>
      </c>
      <c r="C19" s="262" t="inlineStr">
        <is>
          <t>k₁ = k₁' (exit = entry k1)</t>
        </is>
      </c>
      <c r="D19" s="19" t="inlineStr">
        <is>
          <t>Applied for IBC and oxidized; convergence issue if k₁' free</t>
        </is>
      </c>
    </row>
    <row r="20" ht="8" customHeight="1"/>
    <row r="21" ht="18" customHeight="1">
      <c r="B21" s="158" t="inlineStr">
        <is>
          <t>SURFACE REACTION MODEL (Section 3, Eqs 1–11)</t>
        </is>
      </c>
    </row>
    <row r="22" ht="36" customHeight="1">
      <c r="B22" s="159" t="inlineStr">
        <is>
          <t>H₂(gas) ⇌ 2H(solid) at each surface.  k₁ = entry rate constant; k₂ = exit (recombination) rate constant.  Entry flux: J(0,t) = k₁p − k₂c(0)². Exit flux: J(l,t) = k₂'c(l)² − k₁'p'.  Sieverts: Ksm = (k₁/k₂)^0.5. All equations as derived in Refs [12,13] (Cummings et al. 1984, 1985).</t>
        </is>
      </c>
    </row>
    <row r="23" ht="28" customHeight="1">
      <c r="B23" s="28" t="inlineStr">
        <is>
          <t>Eq.</t>
        </is>
      </c>
      <c r="C23" s="28" t="inlineStr">
        <is>
          <t>Expression</t>
        </is>
      </c>
      <c r="D23" s="28" t="inlineStr">
        <is>
          <t>Parameter</t>
        </is>
      </c>
      <c r="E23" s="28" t="inlineStr">
        <is>
          <t>Notes</t>
        </is>
      </c>
    </row>
    <row r="24" ht="16" customHeight="1">
      <c r="B24" s="262" t="inlineStr">
        <is>
          <t>Eq.1</t>
        </is>
      </c>
      <c r="C24" s="262" t="inlineStr">
        <is>
          <t>H₂(gas) ⇌ 2H(solid)</t>
        </is>
      </c>
      <c r="D24" s="262" t="inlineStr">
        <is>
          <t>Reversible surface reaction</t>
        </is>
      </c>
      <c r="E24" s="262" t="inlineStr">
        <is>
          <t>k₁p forward; k₂c² reverse</t>
        </is>
      </c>
    </row>
    <row r="25" ht="16" customHeight="1">
      <c r="B25" s="264" t="inlineStr">
        <is>
          <t>Eq.2</t>
        </is>
      </c>
      <c r="C25" s="264" t="inlineStr">
        <is>
          <t>J(0,t) = k₁p − k₂c(0)²</t>
        </is>
      </c>
      <c r="D25" s="264" t="inlineStr">
        <is>
          <t>Entry flux</t>
        </is>
      </c>
      <c r="E25" s="264" t="inlineStr">
        <is>
          <t>k₁, k₂ describe entry surface</t>
        </is>
      </c>
    </row>
    <row r="26" ht="16" customHeight="1">
      <c r="B26" s="262" t="inlineStr">
        <is>
          <t>Eq.3</t>
        </is>
      </c>
      <c r="C26" s="262" t="inlineStr">
        <is>
          <t>J(l,t) = k₂'c(l)² − k₁'p'</t>
        </is>
      </c>
      <c r="D26" s="262" t="inlineStr">
        <is>
          <t>Exit flux</t>
        </is>
      </c>
      <c r="E26" s="262" t="inlineStr">
        <is>
          <t>k₁', k₂' describe exit surface</t>
        </is>
      </c>
    </row>
    <row r="27" ht="16" customHeight="1">
      <c r="B27" s="264" t="inlineStr">
        <is>
          <t>Eq.10</t>
        </is>
      </c>
      <c r="C27" s="15" t="inlineStr">
        <is>
          <t>Js·l/(D·Ksm) = (ps−Js/k₁)^0.5 − (Js/k₁')^0.5</t>
        </is>
      </c>
      <c r="D27" s="264" t="inlineStr">
        <is>
          <t>Steady-state flux</t>
        </is>
      </c>
      <c r="E27" s="264" t="inlineStr">
        <is>
          <t>Used to avoid needing measured Js</t>
        </is>
      </c>
    </row>
    <row r="28" ht="16" customHeight="1">
      <c r="B28" s="262" t="inlineStr">
        <is>
          <t>Eq.11</t>
        </is>
      </c>
      <c r="C28" s="262" t="inlineStr">
        <is>
          <t>Ksm = (k₁/k₂)^0.5 = (k₁'/k₂')^0.5</t>
        </is>
      </c>
      <c r="D28" s="262" t="inlineStr">
        <is>
          <t>Sieverts coefficient</t>
        </is>
      </c>
      <c r="E28" s="262" t="inlineStr">
        <is>
          <t>Standard steady-state relationship</t>
        </is>
      </c>
    </row>
    <row r="29" ht="8" customHeight="1"/>
    <row r="30" ht="18" customHeight="1">
      <c r="B30" s="158" t="inlineStr">
        <is>
          <t>BULK TRANSPORT — Arrhenius Equations (Eqs 12–13, as printed)</t>
        </is>
      </c>
    </row>
    <row r="31" ht="22" customHeight="1">
      <c r="B31" s="159" t="inlineStr">
        <is>
          <t>Notation: D/(m²s⁻¹) = D₀ × exp[−Ea_K/T]. Activation energies given as Ea/R (in K). Ea[J/mol] = Ea_K × 8.314. T range 502–863 K.</t>
        </is>
      </c>
    </row>
    <row r="32" ht="28" customHeight="1">
      <c r="B32" s="28" t="inlineStr">
        <is>
          <t>Parameter</t>
        </is>
      </c>
      <c r="C32" s="28" t="inlineStr">
        <is>
          <t>Eq.</t>
        </is>
      </c>
      <c r="D32" s="28" t="inlineStr">
        <is>
          <t>Pre-exp (native units)</t>
        </is>
      </c>
      <c r="E32" s="28" t="inlineStr">
        <is>
          <t>Ea/R (K) ± σ</t>
        </is>
      </c>
      <c r="F32" s="28" t="inlineStr">
        <is>
          <t>Ea (J/mol)</t>
        </is>
      </c>
      <c r="G32" s="28" t="inlineStr">
        <is>
          <t>SI pre-exp</t>
        </is>
      </c>
    </row>
    <row r="33" ht="16" customHeight="1">
      <c r="B33" s="252" t="inlineStr">
        <is>
          <t>D — diffusion coeff.</t>
        </is>
      </c>
      <c r="C33" s="252" t="inlineStr">
        <is>
          <t>Eq.12</t>
        </is>
      </c>
      <c r="D33" s="252" t="inlineStr">
        <is>
          <t>(7.3±0.9)×10⁻⁷ m²/s</t>
        </is>
      </c>
      <c r="E33" s="252" t="inlineStr">
        <is>
          <t>(6.30±0.11)×10³</t>
        </is>
      </c>
      <c r="F33" s="253" t="n">
        <v>52378.2</v>
      </c>
      <c r="G33" s="252" t="inlineStr">
        <is>
          <t>7.30e-07 m²/s</t>
        </is>
      </c>
    </row>
    <row r="34" ht="16" customHeight="1">
      <c r="B34" s="264" t="inlineStr">
        <is>
          <t>Pm — permeability</t>
        </is>
      </c>
      <c r="C34" s="264" t="inlineStr">
        <is>
          <t>Eq.13</t>
        </is>
      </c>
      <c r="D34" s="264" t="inlineStr">
        <is>
          <t>(8.1±0.7)×10⁻⁷ mol/s/m/Pa⁰·⁵</t>
        </is>
      </c>
      <c r="E34" s="264" t="inlineStr">
        <is>
          <t>(8.19±0.08)×10³</t>
        </is>
      </c>
      <c r="F34" s="267" t="n">
        <v>68091.7</v>
      </c>
      <c r="G34" s="264" t="inlineStr">
        <is>
          <t>8.10e-07 mol/s/m/Pa⁰·⁵</t>
        </is>
      </c>
    </row>
    <row r="35" ht="28" customHeight="1">
      <c r="B35" s="159" t="inlineStr">
        <is>
          <t>Derived: H_s = Q_p − E_D = 68091.7 − 52378.2 = 15713.5 J/mol.  K_sm,0 = Phi_0/D_0 = 8.10e-07/7.30e-07 = 1.1096 mol/m³/Pa⁰·⁵.  Database (row 39) uses T_ref = 965 K with upper-bound uncertainty values.</t>
        </is>
      </c>
    </row>
    <row r="36" ht="8" customHeight="1"/>
    <row r="37" ht="18" customHeight="1">
      <c r="B37" s="255" t="inlineStr">
        <is>
          <t>SURFACE RATE CONSTANTS — Arrhenius Equations (Eqs 14–16, as printed)</t>
        </is>
      </c>
    </row>
    <row r="38" ht="28" customHeight="1">
      <c r="B38" s="159" t="inlineStr">
        <is>
          <t>Units: k₁ in mol s⁻¹ m⁻² Pa⁻¹.  Notation: k₁₀ × exp[−Ea_K/T]. Ea/R in K.  Values span ~1 order of magnitude at each T depending on surface condition.  k₁ = dissociative adsorption rate constant (forward reaction at entry surface).</t>
        </is>
      </c>
    </row>
    <row r="39" ht="28" customHeight="1">
      <c r="B39" s="256" t="inlineStr">
        <is>
          <t>Surface condition</t>
        </is>
      </c>
      <c r="C39" s="256" t="inlineStr">
        <is>
          <t>Eq.</t>
        </is>
      </c>
      <c r="D39" s="256" t="inlineStr">
        <is>
          <t>k₁₀ (mol/s/m²/Pa) ± σ</t>
        </is>
      </c>
      <c r="E39" s="256" t="inlineStr">
        <is>
          <t>Ea/R (K) ± σ</t>
        </is>
      </c>
      <c r="F39" s="256" t="inlineStr">
        <is>
          <t>Ea (J/mol)</t>
        </is>
      </c>
      <c r="G39" s="256" t="inlineStr">
        <is>
          <t>Notes</t>
        </is>
      </c>
    </row>
    <row r="40" ht="16" customHeight="1">
      <c r="B40" s="257" t="inlineStr">
        <is>
          <t>Ion beam cleaned (IBC)</t>
        </is>
      </c>
      <c r="C40" s="257" t="inlineStr">
        <is>
          <t>Eq.14</t>
        </is>
      </c>
      <c r="D40" s="257" t="inlineStr">
        <is>
          <t>(3.2±0.3)×10⁻²</t>
        </is>
      </c>
      <c r="E40" s="257" t="inlineStr">
        <is>
          <t>(9.71±0.10)×10³</t>
        </is>
      </c>
      <c r="F40" s="258" t="n">
        <v>80728.89999999999</v>
      </c>
      <c r="G40" s="259" t="inlineStr">
        <is>
          <t>Fastest reaction. Highest k₁ and highest Ea. k₁,316/k₁,304 ≈ 1.8</t>
        </is>
      </c>
    </row>
    <row r="41" ht="16" customHeight="1">
      <c r="B41" s="264" t="inlineStr">
        <is>
          <t>Partial IBC (intermediate)</t>
        </is>
      </c>
      <c r="C41" s="264" t="inlineStr">
        <is>
          <t>Eq.15</t>
        </is>
      </c>
      <c r="D41" s="264" t="inlineStr">
        <is>
          <t>(1.4±0.1)×10⁻⁴</t>
        </is>
      </c>
      <c r="E41" s="264" t="inlineStr">
        <is>
          <t>(7.38±0.06)×10³</t>
        </is>
      </c>
      <c r="F41" s="267" t="n">
        <v>61357.3</v>
      </c>
      <c r="G41" s="15" t="inlineStr">
        <is>
          <t>First specimen; insufficient irradiation. Unstable condition.</t>
        </is>
      </c>
    </row>
    <row r="42" ht="16" customHeight="1">
      <c r="B42" s="262" t="inlineStr">
        <is>
          <t>Oxidized both surfaces</t>
        </is>
      </c>
      <c r="C42" s="262" t="inlineStr">
        <is>
          <t>Eq.16</t>
        </is>
      </c>
      <c r="D42" s="262" t="inlineStr">
        <is>
          <t>(1.3±0.3)×10⁻⁴</t>
        </is>
      </c>
      <c r="E42" s="262" t="inlineStr">
        <is>
          <t>(6.97±0.23)×10³</t>
        </is>
      </c>
      <c r="F42" s="266" t="n">
        <v>57948.6</v>
      </c>
      <c r="G42" s="19" t="inlineStr">
        <is>
          <t>Lowest Ea. Similar k₁₀ to partial. Best analog for in-service surface.</t>
        </is>
      </c>
    </row>
    <row r="43" ht="28" customHeight="1">
      <c r="B43" s="159" t="inlineStr">
        <is>
          <t>Baskes theory (Ref [28]) predicts Ea_k1/R = (E_D + H_s)/R = 8190 K → 68092 J/mol (paper: 8.2×10³ K). Measured IBC: 9.71×10³ K. Baskes overestimates k₁ by ~10× (sticking coeff ~1/50 vs assumed 1/2).</t>
        </is>
      </c>
    </row>
    <row r="44" ht="8" customHeight="1"/>
    <row r="45" ht="18" customHeight="1">
      <c r="B45" s="158" t="inlineStr">
        <is>
          <t>COMPARISON WITH 304 STEEL (Eqs 17–20, from text)</t>
        </is>
      </c>
    </row>
    <row r="46" ht="18" customHeight="1">
      <c r="B46" s="159" t="inlineStr">
        <is>
          <t>Ratios derived from this work (316) and Ref [11] (Grant 1987 on 304 steel).  Valid over 549–965 K.</t>
        </is>
      </c>
    </row>
    <row r="47" ht="28" customHeight="1">
      <c r="B47" s="28" t="inlineStr">
        <is>
          <t>Ratio</t>
        </is>
      </c>
      <c r="C47" s="28" t="inlineStr">
        <is>
          <t>Eq.</t>
        </is>
      </c>
      <c r="D47" s="28" t="inlineStr">
        <is>
          <t>Expression</t>
        </is>
      </c>
      <c r="E47" s="28" t="inlineStr">
        <is>
          <t>Range (549-965 K)</t>
        </is>
      </c>
      <c r="F47" s="28" t="inlineStr">
        <is>
          <t>Notes</t>
        </is>
      </c>
    </row>
    <row r="48" ht="16" customHeight="1">
      <c r="B48" s="262" t="inlineStr">
        <is>
          <t>D₃₀₄/D₃₁₆</t>
        </is>
      </c>
      <c r="C48" s="262" t="inlineStr">
        <is>
          <t>Eq.17</t>
        </is>
      </c>
      <c r="D48" s="262" t="inlineStr">
        <is>
          <t>1.68 × exp[−(0.3×10³)/T]</t>
        </is>
      </c>
      <c r="E48" s="262" t="inlineStr">
        <is>
          <t>0.92 to 1.23</t>
        </is>
      </c>
      <c r="F48" s="262" t="inlineStr">
        <is>
          <t>Nearly identical D</t>
        </is>
      </c>
    </row>
    <row r="49" ht="16" customHeight="1">
      <c r="B49" s="264" t="inlineStr">
        <is>
          <t>Pm,304/Pm,316</t>
        </is>
      </c>
      <c r="C49" s="264" t="inlineStr">
        <is>
          <t>Eq.18</t>
        </is>
      </c>
      <c r="D49" s="264" t="inlineStr">
        <is>
          <t>0.596 × exp[(0.2×10³)/T]</t>
        </is>
      </c>
      <c r="E49" s="264" t="inlineStr">
        <is>
          <t>0.89 to 0.73</t>
        </is>
      </c>
      <c r="F49" s="264" t="inlineStr">
        <is>
          <t>Slight difference in Pm</t>
        </is>
      </c>
    </row>
    <row r="50" ht="8" customHeight="1"/>
    <row r="51" ht="18" customHeight="1">
      <c r="B51" s="158" t="inlineStr">
        <is>
          <t>DATABASE STATUS — where this data lives</t>
        </is>
      </c>
    </row>
    <row r="52" ht="28" customHeight="1">
      <c r="B52" s="28" t="inlineStr">
        <is>
          <t>Sheet</t>
        </is>
      </c>
      <c r="C52" s="28" t="inlineStr">
        <is>
          <t>Location</t>
        </is>
      </c>
      <c r="D52" s="28" t="inlineStr">
        <is>
          <t>Data stored</t>
        </is>
      </c>
    </row>
    <row r="53" ht="16" customHeight="1">
      <c r="B53" s="262" t="inlineStr">
        <is>
          <t>Metals_Bulk</t>
        </is>
      </c>
      <c r="C53" s="262" t="inlineStr">
        <is>
          <t>Row 39</t>
        </is>
      </c>
      <c r="D53" s="19" t="inlineStr">
        <is>
          <t>D₀, E_D, D_ref, Ks_ref, H_s, Ks0, Phi_ref, Q_p, Phi_0, all k1 params</t>
        </is>
      </c>
    </row>
    <row r="54" ht="16" customHeight="1">
      <c r="B54" s="264" t="inlineStr">
        <is>
          <t>Metals_SurfKin</t>
        </is>
      </c>
      <c r="C54" s="264" t="inlineStr">
        <is>
          <t>Rows 4–6</t>
        </is>
      </c>
      <c r="D54" s="15" t="inlineStr">
        <is>
          <t>k1_ref, E_k1, k1_0 for all 3 surface conditions</t>
        </is>
      </c>
    </row>
    <row r="55" ht="16" customHeight="1">
      <c r="B55" s="262" t="inlineStr">
        <is>
          <t>Metals_Bulk_H2</t>
        </is>
      </c>
      <c r="C55" s="262" t="inlineStr">
        <is>
          <t>Corresponding row</t>
        </is>
      </c>
      <c r="D55" s="19" t="inlineStr">
        <is>
          <t>Native H₂ — no isotope scaling applied</t>
        </is>
      </c>
    </row>
    <row r="56" ht="16" customHeight="1">
      <c r="B56" s="264" t="inlineStr">
        <is>
          <t>Sources</t>
        </is>
      </c>
      <c r="C56" s="264" t="inlineStr">
        <is>
          <t>—</t>
        </is>
      </c>
      <c r="D56" s="264" t="inlineStr">
        <is>
          <t>Full citation with DOI</t>
        </is>
      </c>
    </row>
    <row r="57" ht="16" customHeight="1">
      <c r="B57" s="262" t="inlineStr">
        <is>
          <t>This sheet</t>
        </is>
      </c>
      <c r="C57" s="262" t="inlineStr">
        <is>
          <t>Grant1988_RawData</t>
        </is>
      </c>
      <c r="D57" s="262" t="inlineStr">
        <is>
          <t>Primary source traceability record</t>
        </is>
      </c>
    </row>
    <row r="58" ht="12" customHeight="1"/>
  </sheetData>
  <mergeCells count="15">
    <mergeCell ref="B3:G3"/>
    <mergeCell ref="B2:G2"/>
    <mergeCell ref="B38:G38"/>
    <mergeCell ref="B51:G51"/>
    <mergeCell ref="B46:G46"/>
    <mergeCell ref="B5:G5"/>
    <mergeCell ref="B22:G22"/>
    <mergeCell ref="B37:G37"/>
    <mergeCell ref="B30:G30"/>
    <mergeCell ref="B31:G31"/>
    <mergeCell ref="B45:G45"/>
    <mergeCell ref="B1:G1"/>
    <mergeCell ref="B35:G35"/>
    <mergeCell ref="B43:G43"/>
    <mergeCell ref="B21:G2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B1:H41"/>
  <sheetViews>
    <sheetView showGridLines="0" workbookViewId="0">
      <selection activeCell="A1" sqref="A1"/>
    </sheetView>
  </sheetViews>
  <sheetFormatPr baseColWidth="8" defaultRowHeight="15"/>
  <cols>
    <col width="3" customWidth="1" min="1" max="1"/>
    <col width="24" customWidth="1" min="2" max="2"/>
    <col width="18" customWidth="1" min="3" max="3"/>
    <col width="16" customWidth="1" min="4" max="4"/>
    <col width="16" customWidth="1" min="5" max="5"/>
    <col width="18" customWidth="1" min="6" max="6"/>
    <col width="28" customWidth="1" min="7" max="7"/>
  </cols>
  <sheetData>
    <row r="1" ht="26" customHeight="1">
      <c r="B1" s="157" t="inlineStr">
        <is>
          <t>Yamawaki et al. 1989 — Raw Data Extraction</t>
        </is>
      </c>
    </row>
    <row r="2" ht="28" customHeight="1">
      <c r="B2" s="156" t="inlineStr">
        <is>
          <t>Yamawaki M, Yamaguchi K, Tanaka S, Namba T, Kiyoshi T, Takahashi Y. "Effect of Surface Impurities on the Hydrogen Recombination Coefficient of First-Wall Materials." J. Nucl. Mater. 162–164 (1989) 1071–1076.  Gas: D₂ (D⁺ ions + residual D₂). T = 773 K (all specimens). UNITS: k_R in cm⁴/s throughout.  Data already in Oxides_SurfKin rows 9–11.</t>
        </is>
      </c>
    </row>
    <row r="3" ht="36" customHeight="1">
      <c r="B3" s="261" t="inlineStr">
        <is>
          <t>⚠ UNIT WARNING: k_R is the RECOMBINATION coefficient (Φ = k_R·C²), NOT the dissociative adsorption rate constant k₁ (mol/m²/s/Pa) used in L6 model. Unit conversion to k₁ requires knowledge of Sieverts constant K_s. k_R [cm⁴/s] is incompatible with database k1 [mol/m²/s/Pa] columns.</t>
        </is>
      </c>
    </row>
    <row r="4" ht="8" customHeight="1"/>
    <row r="5" ht="18" customHeight="1">
      <c r="B5" s="158" t="inlineStr">
        <is>
          <t>EXPERIMENTAL CONDITIONS (Table 1)</t>
        </is>
      </c>
    </row>
    <row r="6" ht="28" customHeight="1">
      <c r="B6" s="28" t="inlineStr">
        <is>
          <t>Metal</t>
        </is>
      </c>
      <c r="C6" s="28" t="inlineStr">
        <is>
          <t>Specimen thickness (µm)</t>
        </is>
      </c>
      <c r="D6" s="28" t="inlineStr">
        <is>
          <t>Major surface impurities</t>
        </is>
      </c>
      <c r="E6" s="28" t="inlineStr">
        <is>
          <t>Primary reference</t>
        </is>
      </c>
      <c r="F6" s="28" t="inlineStr">
        <is>
          <t>T (K)</t>
        </is>
      </c>
      <c r="G6" s="28" t="inlineStr">
        <is>
          <t>Notes</t>
        </is>
      </c>
    </row>
    <row r="7" ht="16" customHeight="1">
      <c r="B7" s="262" t="inlineStr">
        <is>
          <t>304 SS</t>
        </is>
      </c>
      <c r="C7" s="263" t="n">
        <v>50</v>
      </c>
      <c r="D7" s="262" t="inlineStr">
        <is>
          <t>Si, P, N, O</t>
        </is>
      </c>
      <c r="E7" s="262" t="inlineStr">
        <is>
          <t>Yamawaki et al. 1987 [Ref 6]</t>
        </is>
      </c>
      <c r="F7" s="263" t="n">
        <v>773</v>
      </c>
      <c r="G7" s="262" t="inlineStr">
        <is>
          <t>O most correlated with k_R</t>
        </is>
      </c>
    </row>
    <row r="8" ht="16" customHeight="1">
      <c r="B8" s="264" t="inlineStr">
        <is>
          <t>Vanadium</t>
        </is>
      </c>
      <c r="C8" s="265" t="n">
        <v>55</v>
      </c>
      <c r="D8" s="264" t="inlineStr">
        <is>
          <t>S</t>
        </is>
      </c>
      <c r="E8" s="264" t="inlineStr">
        <is>
          <t>Yamaguchi et al. 1987 [Ref 7]</t>
        </is>
      </c>
      <c r="F8" s="265" t="n">
        <v>773</v>
      </c>
      <c r="G8" s="264" t="inlineStr">
        <is>
          <t>S segregates from bulk up to 40 at%</t>
        </is>
      </c>
    </row>
    <row r="9" ht="16" customHeight="1">
      <c r="B9" s="262" t="inlineStr">
        <is>
          <t>Nickel</t>
        </is>
      </c>
      <c r="C9" s="263" t="n">
        <v>20</v>
      </c>
      <c r="D9" s="262" t="inlineStr">
        <is>
          <t>S</t>
        </is>
      </c>
      <c r="E9" s="262" t="inlineStr">
        <is>
          <t>Yamawaki et al. 1987 [Ref 8]</t>
        </is>
      </c>
      <c r="F9" s="263" t="n">
        <v>773</v>
      </c>
      <c r="G9" s="262" t="inlineStr">
        <is>
          <t>Two specimens: S-rich and O/Si-rich</t>
        </is>
      </c>
    </row>
    <row r="10" ht="28" customHeight="1">
      <c r="B10" s="159" t="inlineStr">
        <is>
          <t>All experiments: D ion flux φ_p ≈ 10¹³ D cm⁻² s⁻¹; D₂ gas pressure P₁ ≈ 10⁻⁴ Pa; T = 773 K.  Simultaneous ion-driven AND gas-driven permeation of D₂.  Surface composition by in-situ AES. AES sensitivity factors from Anelva catalogue [Ref 15].</t>
        </is>
      </c>
    </row>
    <row r="11" ht="8" customHeight="1"/>
    <row r="12" ht="18" customHeight="1">
      <c r="B12" s="158" t="inlineStr">
        <is>
          <t>KEY EQUATIONS (Eqs 1–10)</t>
        </is>
      </c>
    </row>
    <row r="13" ht="28" customHeight="1">
      <c r="B13" s="28" t="inlineStr">
        <is>
          <t>Eq.</t>
        </is>
      </c>
      <c r="C13" s="28" t="inlineStr">
        <is>
          <t>Expression</t>
        </is>
      </c>
      <c r="D13" s="28" t="inlineStr">
        <is>
          <t>Notes</t>
        </is>
      </c>
    </row>
    <row r="14" ht="20" customHeight="1">
      <c r="B14" s="262" t="inlineStr">
        <is>
          <t>Eq.1</t>
        </is>
      </c>
      <c r="C14" s="262" t="inlineStr">
        <is>
          <t>Φ = k_R × C²</t>
        </is>
      </c>
      <c r="D14" s="19" t="inlineStr">
        <is>
          <t>Release rate (mol/cm²/s); C = H density just below surface (atoms/cm³)</t>
        </is>
      </c>
    </row>
    <row r="15" ht="20" customHeight="1">
      <c r="B15" s="264" t="inlineStr">
        <is>
          <t>Eq.6</t>
        </is>
      </c>
      <c r="C15" s="264" t="inlineStr">
        <is>
          <t>k_R(T, C_i) = k_R⁰(T) × exp(−η·C_i)</t>
        </is>
      </c>
      <c r="D15" s="15" t="inlineStr">
        <is>
          <t>Functional form: impurity effect exponential</t>
        </is>
      </c>
    </row>
    <row r="16" ht="20" customHeight="1">
      <c r="B16" s="262" t="inlineStr">
        <is>
          <t>Eq.7</t>
        </is>
      </c>
      <c r="C16" s="19" t="inlineStr">
        <is>
          <t>(k_R)_B = [3.68×10²⁰·α/(MT)^0.5·K_S0²] × exp[(2E_S−E_X)/kT]</t>
        </is>
      </c>
      <c r="D16" s="19" t="inlineStr">
        <is>
          <t>Baskes model; α=sticking coeff; E_X=Max(E_S+E_D,0)</t>
        </is>
      </c>
    </row>
    <row r="17" ht="20" customHeight="1">
      <c r="B17" s="264" t="inlineStr">
        <is>
          <t>Eq.8</t>
        </is>
      </c>
      <c r="C17" s="15" t="inlineStr">
        <is>
          <t>(k_R)_PS = [1.84×10²⁰/(MT)^0.5·K_S0²] × exp[2(E_S−E_C)/kT]</t>
        </is>
      </c>
      <c r="D17" s="15" t="inlineStr">
        <is>
          <t>Pick &amp; Sonnenberg model; E_C=chemisorption barrier</t>
        </is>
      </c>
    </row>
    <row r="18" ht="20" customHeight="1">
      <c r="B18" s="262" t="inlineStr">
        <is>
          <t>Eq.9</t>
        </is>
      </c>
      <c r="C18" s="262" t="inlineStr">
        <is>
          <t>E_X = Max(E_S + E_D, 0)</t>
        </is>
      </c>
      <c r="D18" s="262" t="inlineStr">
        <is>
          <t>Baskes model parameter</t>
        </is>
      </c>
    </row>
    <row r="19" ht="20" customHeight="1">
      <c r="B19" s="264" t="inlineStr">
        <is>
          <t>Eq.10</t>
        </is>
      </c>
      <c r="C19" s="15" t="inlineStr">
        <is>
          <t>2E_C = 2E_S − kT·ln[(k_R)₁·(MT)^0.5·K_S0² / 1.84×10²⁰]</t>
        </is>
      </c>
      <c r="D19" s="15" t="inlineStr">
        <is>
          <t>Used to extract E_C from experimental k_R</t>
        </is>
      </c>
    </row>
    <row r="20" ht="8" customHeight="1"/>
    <row r="21" ht="18" customHeight="1">
      <c r="B21" s="158" t="inlineStr">
        <is>
          <t>TABLE 2 — k_R as function of surface impurity concentration (as printed)</t>
        </is>
      </c>
    </row>
    <row r="22" ht="22" customHeight="1">
      <c r="B22" s="159" t="inlineStr">
        <is>
          <t>All k_R values at T = 773 K. k_R(T,C_i) = k_R⁰(T)·exp(−η·C_i). Baskes and Pick-Sonnenberg values use α=1, E_C=0 (maximum theoretical values).</t>
        </is>
      </c>
    </row>
    <row r="23" ht="28" customHeight="1">
      <c r="B23" s="28" t="inlineStr">
        <is>
          <t>Metal</t>
        </is>
      </c>
      <c r="C23" s="28" t="inlineStr">
        <is>
          <t>Impurity element i</t>
        </is>
      </c>
      <c r="D23" s="28" t="inlineStr">
        <is>
          <t>k_R⁰ (cm⁴/s) at C_i=0</t>
        </is>
      </c>
      <c r="E23" s="28" t="inlineStr">
        <is>
          <t>η [(at%)⁻¹]</t>
        </is>
      </c>
      <c r="F23" s="28" t="inlineStr">
        <is>
          <t>(k_R)_B (cm⁴/s)</t>
        </is>
      </c>
      <c r="G23" s="28" t="inlineStr">
        <is>
          <t>(k_R)_PS (cm⁴/s)</t>
        </is>
      </c>
    </row>
    <row r="24" ht="16" customHeight="1">
      <c r="B24" s="262" t="inlineStr">
        <is>
          <t>304 SS</t>
        </is>
      </c>
      <c r="C24" s="262" t="inlineStr">
        <is>
          <t>O</t>
        </is>
      </c>
      <c r="D24" s="266" t="n">
        <v>7.1e-17</v>
      </c>
      <c r="E24" s="263" t="n">
        <v>0.21</v>
      </c>
      <c r="F24" s="266" t="n">
        <v>4.8e-19</v>
      </c>
      <c r="G24" s="266" t="n">
        <v>6.5e-15</v>
      </c>
    </row>
    <row r="25" ht="16" customHeight="1">
      <c r="B25" s="264" t="inlineStr">
        <is>
          <t>Vanadium</t>
        </is>
      </c>
      <c r="C25" s="264" t="inlineStr">
        <is>
          <t>S</t>
        </is>
      </c>
      <c r="D25" s="267" t="n">
        <v>7.6e-23</v>
      </c>
      <c r="E25" s="265" t="n">
        <v>0.05</v>
      </c>
      <c r="F25" s="267" t="n">
        <v>3.4e-20</v>
      </c>
      <c r="G25" s="267" t="n">
        <v>1.2e-20</v>
      </c>
    </row>
    <row r="26" ht="16" customHeight="1">
      <c r="B26" s="262" t="inlineStr">
        <is>
          <t>Nickel</t>
        </is>
      </c>
      <c r="C26" s="262" t="inlineStr">
        <is>
          <t>S</t>
        </is>
      </c>
      <c r="D26" s="266" t="n">
        <v>1.9e-16</v>
      </c>
      <c r="E26" s="263" t="n">
        <v>0.18</v>
      </c>
      <c r="F26" s="266" t="n">
        <v>9.8e-19</v>
      </c>
      <c r="G26" s="266" t="n">
        <v>1.9e-15</v>
      </c>
    </row>
    <row r="27" ht="8" customHeight="1"/>
    <row r="28" ht="18" customHeight="1">
      <c r="B28" s="158" t="inlineStr">
        <is>
          <t>k_R RANGES FROM TEXT AND FIGURES</t>
        </is>
      </c>
    </row>
    <row r="29" ht="28" customHeight="1">
      <c r="B29" s="28" t="inlineStr">
        <is>
          <t>Metal</t>
        </is>
      </c>
      <c r="C29" s="28" t="inlineStr">
        <is>
          <t>Impurity</t>
        </is>
      </c>
      <c r="D29" s="28" t="inlineStr">
        <is>
          <t>C_i range (at%)</t>
        </is>
      </c>
      <c r="E29" s="28" t="inlineStr">
        <is>
          <t>k_R range (cm⁴/s)</t>
        </is>
      </c>
      <c r="F29" s="28" t="inlineStr">
        <is>
          <t>Source</t>
        </is>
      </c>
    </row>
    <row r="30" ht="16" customHeight="1">
      <c r="B30" s="262" t="inlineStr">
        <is>
          <t>304 SS</t>
        </is>
      </c>
      <c r="C30" s="262" t="inlineStr">
        <is>
          <t>O (0→20 at%)</t>
        </is>
      </c>
      <c r="D30" s="262" t="inlineStr">
        <is>
          <t>0–20</t>
        </is>
      </c>
      <c r="E30" s="262" t="inlineStr">
        <is>
          <t>10⁻¹⁶ to 10⁻¹⁸</t>
        </is>
      </c>
      <c r="F30" s="262" t="inlineStr">
        <is>
          <t>Fig. 1 upstream surface (k_R)₁</t>
        </is>
      </c>
    </row>
    <row r="31" ht="16" customHeight="1">
      <c r="B31" s="264" t="inlineStr">
        <is>
          <t>Vanadium</t>
        </is>
      </c>
      <c r="C31" s="264" t="inlineStr">
        <is>
          <t>S (0→40 at%)</t>
        </is>
      </c>
      <c r="D31" s="264" t="inlineStr">
        <is>
          <t>0–40</t>
        </is>
      </c>
      <c r="E31" s="264" t="inlineStr">
        <is>
          <t>10⁻²² to 10⁻²³</t>
        </is>
      </c>
      <c r="F31" s="264" t="inlineStr">
        <is>
          <t>From text; (k_R)₁ upstream</t>
        </is>
      </c>
    </row>
    <row r="32" ht="16" customHeight="1">
      <c r="B32" s="262" t="inlineStr">
        <is>
          <t>Nickel</t>
        </is>
      </c>
      <c r="C32" s="262" t="inlineStr">
        <is>
          <t>S (10→40 at%)</t>
        </is>
      </c>
      <c r="D32" s="262" t="inlineStr">
        <is>
          <t>10–40</t>
        </is>
      </c>
      <c r="E32" s="262" t="inlineStr">
        <is>
          <t>10⁻¹⁶ to 10⁻¹⁹</t>
        </is>
      </c>
      <c r="F32" s="262" t="inlineStr">
        <is>
          <t>(k_R)₁ upstream; S-rich specimen</t>
        </is>
      </c>
    </row>
    <row r="33" ht="16" customHeight="1">
      <c r="B33" s="264" t="inlineStr">
        <is>
          <t>Nickel</t>
        </is>
      </c>
      <c r="C33" s="264" t="inlineStr">
        <is>
          <t>O+Si (~15 each)</t>
        </is>
      </c>
      <c r="D33" s="264" t="inlineStr">
        <is>
          <t>—</t>
        </is>
      </c>
      <c r="E33" s="264" t="inlineStr">
        <is>
          <t>No correlation</t>
        </is>
      </c>
      <c r="F33" s="15" t="inlineStr">
        <is>
          <t>O/Si-rich specimen — no clear k_R vs C_i</t>
        </is>
      </c>
    </row>
    <row r="34" ht="16" customHeight="1">
      <c r="B34" s="262" t="inlineStr">
        <is>
          <t>Vanadium</t>
        </is>
      </c>
      <c r="C34" s="262" t="inlineStr">
        <is>
          <t>— (ref)</t>
        </is>
      </c>
      <c r="D34" s="262" t="inlineStr">
        <is>
          <t>—</t>
        </is>
      </c>
      <c r="E34" s="262" t="inlineStr">
        <is>
          <t>~10⁻²⁵</t>
        </is>
      </c>
      <c r="F34" s="19" t="inlineStr">
        <is>
          <t>Holland &amp; Anderl [Ref 16] at 773 K for comparison</t>
        </is>
      </c>
    </row>
    <row r="35" ht="8" customHeight="1"/>
    <row r="36" ht="18" customHeight="1">
      <c r="B36" s="158" t="inlineStr">
        <is>
          <t>2E_C (CHEMISORPTION ACTIVATION ENERGY) FROM FIGURES 2 AND 3</t>
        </is>
      </c>
    </row>
    <row r="37" ht="22" customHeight="1">
      <c r="B37" s="159" t="inlineStr">
        <is>
          <t>Evaluated from Eq.(10) using experimental (k_R)₁ values. Deviation from Pick model (E_C &gt; 0 even at C_i=0) indicates surface barrier exists beyond impurities.</t>
        </is>
      </c>
    </row>
    <row r="38" ht="28" customHeight="1">
      <c r="B38" s="28" t="inlineStr">
        <is>
          <t>Metal</t>
        </is>
      </c>
      <c r="C38" s="28" t="inlineStr">
        <is>
          <t>2E_C at C_i=0 (eV)</t>
        </is>
      </c>
      <c r="D38" s="28" t="inlineStr">
        <is>
          <t>2E_C_max (eV)</t>
        </is>
      </c>
      <c r="E38" s="28" t="inlineStr">
        <is>
          <t>2E_C_max (J/mol)</t>
        </is>
      </c>
      <c r="F38" s="28" t="inlineStr">
        <is>
          <t>Notes</t>
        </is>
      </c>
    </row>
    <row r="39" ht="16" customHeight="1">
      <c r="B39" s="262" t="inlineStr">
        <is>
          <t>304 SS</t>
        </is>
      </c>
      <c r="C39" s="262" t="inlineStr">
        <is>
          <t>~0 (small)</t>
        </is>
      </c>
      <c r="D39" s="262" t="inlineStr">
        <is>
          <t>—</t>
        </is>
      </c>
      <c r="E39" s="262" t="inlineStr">
        <is>
          <t>—</t>
        </is>
      </c>
      <c r="F39" s="19" t="inlineStr">
        <is>
          <t>Data scattered; O inhibits recombination</t>
        </is>
      </c>
    </row>
    <row r="40" ht="16" customHeight="1">
      <c r="B40" s="264" t="inlineStr">
        <is>
          <t>Nickel</t>
        </is>
      </c>
      <c r="C40" s="264" t="inlineStr">
        <is>
          <t>~0</t>
        </is>
      </c>
      <c r="D40" s="264" t="inlineStr">
        <is>
          <t>~0.7</t>
        </is>
      </c>
      <c r="E40" s="264" t="inlineStr">
        <is>
          <t>67,540</t>
        </is>
      </c>
      <c r="F40" s="15" t="inlineStr">
        <is>
          <t>S increases barrier to max ~0.7 eV at ~40 at% S (Fig.2)</t>
        </is>
      </c>
    </row>
    <row r="41" ht="16" customHeight="1">
      <c r="B41" s="262" t="inlineStr">
        <is>
          <t>Vanadium</t>
        </is>
      </c>
      <c r="C41" s="262" t="inlineStr">
        <is>
          <t>~0.33 eV</t>
        </is>
      </c>
      <c r="D41" s="262" t="inlineStr">
        <is>
          <t>~0.5</t>
        </is>
      </c>
      <c r="E41" s="262" t="inlineStr">
        <is>
          <t>48,240</t>
        </is>
      </c>
      <c r="F41" s="19" t="inlineStr">
        <is>
          <t>2E_C range ~0.1–0.5 eV; weakest dependence on C_S (Fig.3)</t>
        </is>
      </c>
    </row>
    <row r="42" ht="12" customHeight="1"/>
  </sheetData>
  <mergeCells count="11">
    <mergeCell ref="B22:H22"/>
    <mergeCell ref="B36:H36"/>
    <mergeCell ref="B1:H1"/>
    <mergeCell ref="B21:H21"/>
    <mergeCell ref="B12:H12"/>
    <mergeCell ref="B2:H2"/>
    <mergeCell ref="B10:H10"/>
    <mergeCell ref="B3:H3"/>
    <mergeCell ref="B5:H5"/>
    <mergeCell ref="B37:H37"/>
    <mergeCell ref="B28:H28"/>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B1:H56"/>
  <sheetViews>
    <sheetView showGridLines="0" workbookViewId="0">
      <selection activeCell="A1" sqref="A1"/>
    </sheetView>
  </sheetViews>
  <sheetFormatPr baseColWidth="8" defaultRowHeight="15"/>
  <cols>
    <col width="3" customWidth="1" min="1" max="1"/>
    <col width="26" customWidth="1" min="2" max="2"/>
    <col width="18" customWidth="1" min="3" max="3"/>
    <col width="16" customWidth="1" min="4" max="4"/>
    <col width="16" customWidth="1" min="5" max="5"/>
    <col width="16" customWidth="1" min="6" max="6"/>
    <col width="28" customWidth="1" min="7" max="7"/>
  </cols>
  <sheetData>
    <row r="1" ht="26" customHeight="1">
      <c r="B1" s="157" t="inlineStr">
        <is>
          <t>Swansiger &amp; Bastasz 1979 — Raw Data Extraction</t>
        </is>
      </c>
    </row>
    <row r="2" ht="28" customHeight="1">
      <c r="B2" s="156" t="inlineStr">
        <is>
          <t>Swansiger WA, Bastasz R. "Tritium and Deuterium Permeation in Stainless Steels: Influence of Thin Oxide Films." J. Nucl. Mater. 85 &amp; 86 (1979) 335–339.  Gas: T₂ (325–473 K, normalized to D) and D₂ (475–700 K).  T data normalized to D: multiply by √3/√2 = 1.2247.  Data already in Oxides_SurfKin rows 4–8.</t>
        </is>
      </c>
    </row>
    <row r="3" ht="8" customHeight="1"/>
    <row r="4" ht="18" customHeight="1">
      <c r="B4" s="158" t="inlineStr">
        <is>
          <t>SPECIMEN DETAILS</t>
        </is>
      </c>
    </row>
    <row r="5" ht="28" customHeight="1">
      <c r="B5" s="28" t="inlineStr">
        <is>
          <t>Material</t>
        </is>
      </c>
      <c r="C5" s="28" t="inlineStr">
        <is>
          <t>Type</t>
        </is>
      </c>
      <c r="D5" s="28" t="inlineStr">
        <is>
          <t>Thickness (mm)</t>
        </is>
      </c>
      <c r="E5" s="28" t="inlineStr">
        <is>
          <t>Diameter (mm)</t>
        </is>
      </c>
      <c r="F5" s="28" t="inlineStr">
        <is>
          <t>Notes</t>
        </is>
      </c>
    </row>
    <row r="6" ht="16" customHeight="1">
      <c r="B6" s="262" t="inlineStr">
        <is>
          <t>309S</t>
        </is>
      </c>
      <c r="C6" s="262" t="inlineStr">
        <is>
          <t>Single-phase austenitic SS</t>
        </is>
      </c>
      <c r="D6" s="262" t="inlineStr">
        <is>
          <t>0.09–0.28</t>
        </is>
      </c>
      <c r="E6" s="263" t="n">
        <v>19</v>
      </c>
      <c r="F6" s="262" t="inlineStr">
        <is>
          <t>Cold-rolled, annealed</t>
        </is>
      </c>
    </row>
    <row r="7" ht="16" customHeight="1">
      <c r="B7" s="264" t="inlineStr">
        <is>
          <t>21-6-9</t>
        </is>
      </c>
      <c r="C7" s="264" t="inlineStr">
        <is>
          <t>N-strengthened austenitic SS</t>
        </is>
      </c>
      <c r="D7" s="264" t="inlineStr">
        <is>
          <t>0.09–0.28</t>
        </is>
      </c>
      <c r="E7" s="265" t="n">
        <v>19</v>
      </c>
      <c r="F7" s="264" t="inlineStr">
        <is>
          <t>Cold-rolled, annealed</t>
        </is>
      </c>
    </row>
    <row r="8" ht="16" customHeight="1">
      <c r="B8" s="262" t="inlineStr">
        <is>
          <t>Modified A-286</t>
        </is>
      </c>
      <c r="C8" s="262" t="inlineStr">
        <is>
          <t>Precipitation-hardened SS</t>
        </is>
      </c>
      <c r="D8" s="262" t="inlineStr">
        <is>
          <t>0.09–0.28</t>
        </is>
      </c>
      <c r="E8" s="263" t="n">
        <v>19</v>
      </c>
      <c r="F8" s="19" t="inlineStr">
        <is>
          <t>HT 1172K/7.2ks; aged 948K+873K; air-cooled</t>
        </is>
      </c>
    </row>
    <row r="9" ht="22" customHeight="1">
      <c r="B9" s="164" t="inlineStr">
        <is>
          <t>Surface prep: passivated with 20% Nitradd + 30% HNO₃ in demineralized water (produces thin oxide). Sputter-cleaned Pd-coated reference samples: Ar-sputtered + thin (&lt;100 nm) Pd on both sides.</t>
        </is>
      </c>
    </row>
    <row r="10" ht="8" customHeight="1"/>
    <row r="11" ht="18" customHeight="1">
      <c r="B11" s="158" t="inlineStr">
        <is>
          <t>TABLE 1 — Bulk and Oxide Film Compositions (atomic %, as printed)</t>
        </is>
      </c>
    </row>
    <row r="12" ht="22" customHeight="1">
      <c r="B12" s="159" t="inlineStr">
        <is>
          <t>* = present but &lt; 0.1%;  -- = &lt; 1%; AES accuracy ±15% (empirical sensitivity factors).  Near surface = after sputter removal of surface oxide.  Mn not calculated for 21-6-9 (Mn/Fe AES peak overlap).</t>
        </is>
      </c>
    </row>
    <row r="13" ht="28" customHeight="1">
      <c r="B13" s="28" t="inlineStr">
        <is>
          <t>Element</t>
        </is>
      </c>
      <c r="C13" s="28" t="inlineStr">
        <is>
          <t>21-6-9 Bulk</t>
        </is>
      </c>
      <c r="D13" s="28" t="inlineStr">
        <is>
          <t>21-6-9 Near surface</t>
        </is>
      </c>
      <c r="E13" s="28" t="inlineStr">
        <is>
          <t>21-6-9 Surface oxide</t>
        </is>
      </c>
      <c r="F13" s="28" t="inlineStr">
        <is>
          <t>Mod A-286 Bulk</t>
        </is>
      </c>
      <c r="G13" s="28" t="inlineStr">
        <is>
          <t>Mod A-286 Surface oxide</t>
        </is>
      </c>
    </row>
    <row r="14" ht="16" customHeight="1">
      <c r="B14" s="262" t="inlineStr">
        <is>
          <t>Fe</t>
        </is>
      </c>
      <c r="C14" s="263" t="n">
        <v>62.9</v>
      </c>
      <c r="D14" s="263" t="n">
        <v>55</v>
      </c>
      <c r="E14" s="263" t="n">
        <v>29</v>
      </c>
      <c r="F14" s="263" t="n">
        <v>52.6</v>
      </c>
      <c r="G14" s="263" t="n">
        <v>9</v>
      </c>
    </row>
    <row r="15" ht="16" customHeight="1">
      <c r="B15" s="264" t="inlineStr">
        <is>
          <t>Cr</t>
        </is>
      </c>
      <c r="C15" s="265" t="n">
        <v>20.2</v>
      </c>
      <c r="D15" s="265" t="n">
        <v>19</v>
      </c>
      <c r="E15" s="264" t="inlineStr">
        <is>
          <t>—</t>
        </is>
      </c>
      <c r="F15" s="265" t="n">
        <v>15.1</v>
      </c>
      <c r="G15" s="264" t="inlineStr">
        <is>
          <t>—</t>
        </is>
      </c>
    </row>
    <row r="16" ht="16" customHeight="1">
      <c r="B16" s="262" t="inlineStr">
        <is>
          <t>Ni</t>
        </is>
      </c>
      <c r="C16" s="263" t="n">
        <v>6.6</v>
      </c>
      <c r="D16" s="263" t="n">
        <v>10</v>
      </c>
      <c r="E16" s="262" t="inlineStr">
        <is>
          <t>—</t>
        </is>
      </c>
      <c r="F16" s="263" t="n">
        <v>28.2</v>
      </c>
      <c r="G16" s="263" t="n">
        <v>4</v>
      </c>
    </row>
    <row r="17" ht="16" customHeight="1">
      <c r="B17" s="264" t="inlineStr">
        <is>
          <t>Mn</t>
        </is>
      </c>
      <c r="C17" s="265" t="n">
        <v>8.699999999999999</v>
      </c>
      <c r="D17" s="264" t="inlineStr">
        <is>
          <t>—</t>
        </is>
      </c>
      <c r="E17" s="264" t="inlineStr">
        <is>
          <t>—</t>
        </is>
      </c>
      <c r="F17" s="264" t="inlineStr">
        <is>
          <t>*</t>
        </is>
      </c>
      <c r="G17" s="264" t="inlineStr">
        <is>
          <t>—</t>
        </is>
      </c>
    </row>
    <row r="18" ht="16" customHeight="1">
      <c r="B18" s="262" t="inlineStr">
        <is>
          <t>Si</t>
        </is>
      </c>
      <c r="C18" s="263" t="n">
        <v>0.5</v>
      </c>
      <c r="D18" s="262" t="inlineStr">
        <is>
          <t>—</t>
        </is>
      </c>
      <c r="E18" s="262" t="inlineStr">
        <is>
          <t>—</t>
        </is>
      </c>
      <c r="F18" s="262" t="inlineStr">
        <is>
          <t>*</t>
        </is>
      </c>
      <c r="G18" s="262" t="inlineStr">
        <is>
          <t>—</t>
        </is>
      </c>
    </row>
    <row r="19" ht="16" customHeight="1">
      <c r="B19" s="264" t="inlineStr">
        <is>
          <t>Ti</t>
        </is>
      </c>
      <c r="C19" s="264" t="inlineStr">
        <is>
          <t>*</t>
        </is>
      </c>
      <c r="D19" s="264" t="inlineStr">
        <is>
          <t>—</t>
        </is>
      </c>
      <c r="E19" s="264" t="inlineStr">
        <is>
          <t>—</t>
        </is>
      </c>
      <c r="F19" s="265" t="n">
        <v>2.5</v>
      </c>
      <c r="G19" s="265" t="n">
        <v>11</v>
      </c>
    </row>
    <row r="20" ht="16" customHeight="1">
      <c r="B20" s="262" t="inlineStr">
        <is>
          <t>C</t>
        </is>
      </c>
      <c r="C20" s="262" t="inlineStr">
        <is>
          <t>*</t>
        </is>
      </c>
      <c r="D20" s="263" t="n">
        <v>9</v>
      </c>
      <c r="E20" s="263" t="n">
        <v>23</v>
      </c>
      <c r="F20" s="263" t="n">
        <v>0.1</v>
      </c>
      <c r="G20" s="263" t="n">
        <v>37</v>
      </c>
    </row>
    <row r="21" ht="16" customHeight="1">
      <c r="B21" s="264" t="inlineStr">
        <is>
          <t>N</t>
        </is>
      </c>
      <c r="C21" s="265" t="n">
        <v>1.1</v>
      </c>
      <c r="D21" s="265" t="n">
        <v>7</v>
      </c>
      <c r="E21" s="264" t="inlineStr">
        <is>
          <t>—</t>
        </is>
      </c>
      <c r="F21" s="264" t="inlineStr">
        <is>
          <t>*</t>
        </is>
      </c>
      <c r="G21" s="264" t="inlineStr">
        <is>
          <t>—</t>
        </is>
      </c>
    </row>
    <row r="22" ht="16" customHeight="1">
      <c r="B22" s="262" t="inlineStr">
        <is>
          <t>O</t>
        </is>
      </c>
      <c r="C22" s="262" t="inlineStr">
        <is>
          <t>*</t>
        </is>
      </c>
      <c r="D22" s="262" t="inlineStr">
        <is>
          <t>—</t>
        </is>
      </c>
      <c r="E22" s="263" t="n">
        <v>43</v>
      </c>
      <c r="F22" s="262" t="inlineStr">
        <is>
          <t>*</t>
        </is>
      </c>
      <c r="G22" s="263" t="n">
        <v>38</v>
      </c>
    </row>
    <row r="23" ht="16" customHeight="1">
      <c r="B23" s="264" t="inlineStr">
        <is>
          <t>S</t>
        </is>
      </c>
      <c r="C23" s="264" t="inlineStr">
        <is>
          <t>*</t>
        </is>
      </c>
      <c r="D23" s="264" t="inlineStr">
        <is>
          <t>—</t>
        </is>
      </c>
      <c r="E23" s="265" t="n">
        <v>4</v>
      </c>
      <c r="F23" s="264" t="inlineStr">
        <is>
          <t>*</t>
        </is>
      </c>
      <c r="G23" s="265" t="n">
        <v>1</v>
      </c>
    </row>
    <row r="24" ht="16" customHeight="1">
      <c r="B24" s="262" t="inlineStr">
        <is>
          <t>Cl</t>
        </is>
      </c>
      <c r="C24" s="262" t="inlineStr">
        <is>
          <t>*</t>
        </is>
      </c>
      <c r="D24" s="262" t="inlineStr">
        <is>
          <t>—</t>
        </is>
      </c>
      <c r="E24" s="263" t="n">
        <v>1</v>
      </c>
      <c r="F24" s="262" t="inlineStr">
        <is>
          <t>*</t>
        </is>
      </c>
      <c r="G24" s="262" t="inlineStr">
        <is>
          <t>—</t>
        </is>
      </c>
    </row>
    <row r="25" ht="28" customHeight="1">
      <c r="B25" s="164" t="inlineStr">
        <is>
          <t>Key oxide observation: 21-6-9 oxide enriched in O (43 at%) and C (23 at%); depleted in Cr — mixed Fe/Cr/O oxide ~15 nm thick (~19% Cr, 43% O before normalization). A-286 oxide enriched in Ti (11 at%) and C (37 at%) — Ti from prior heat treatment.</t>
        </is>
      </c>
    </row>
    <row r="26" ht="8" customHeight="1"/>
    <row r="27" ht="18" customHeight="1">
      <c r="B27" s="158" t="inlineStr">
        <is>
          <t>SPUTTER-CLEANED Pd-COATED — Arrhenius Parameters (Fig.1, as printed)</t>
        </is>
      </c>
    </row>
    <row r="28" ht="28" customHeight="1">
      <c r="B28" s="159" t="inlineStr">
        <is>
          <t>φ = φ₀ × exp(−Ea/RT) mol D₂/(m·s·MPa^0.5).  SI conversion: divide φ₀ by 10³ to get mol/(m·s·Pa^0.5).  T range 325–700 K; pressures 1.32–100 kPa; 5 orders of magnitude in permeability.</t>
        </is>
      </c>
    </row>
    <row r="29" ht="28" customHeight="1">
      <c r="B29" s="28" t="inlineStr">
        <is>
          <t>Material</t>
        </is>
      </c>
      <c r="C29" s="28" t="inlineStr">
        <is>
          <t>Ea (J/mol)</t>
        </is>
      </c>
      <c r="D29" s="28" t="inlineStr">
        <is>
          <t>φ₀ (mol/m/s/MPa^0.5)</t>
        </is>
      </c>
      <c r="E29" s="28" t="inlineStr">
        <is>
          <t>φ₀ SI (mol/m/s/Pa^0.5)</t>
        </is>
      </c>
      <c r="F29" s="28" t="inlineStr">
        <is>
          <t>Notes</t>
        </is>
      </c>
    </row>
    <row r="30" ht="16" customHeight="1">
      <c r="B30" s="262" t="inlineStr">
        <is>
          <t>309S</t>
        </is>
      </c>
      <c r="C30" s="263" t="n">
        <v>62300</v>
      </c>
      <c r="D30" s="266" t="n">
        <v>0.00012</v>
      </c>
      <c r="E30" s="266" t="n">
        <v>1.2e-07</v>
      </c>
      <c r="F30" s="262" t="inlineStr">
        <is>
          <t>Ref: Oxides_SurfKin row 6</t>
        </is>
      </c>
    </row>
    <row r="31" ht="16" customHeight="1">
      <c r="B31" s="264" t="inlineStr">
        <is>
          <t>21-6-9</t>
        </is>
      </c>
      <c r="C31" s="265" t="n">
        <v>66000</v>
      </c>
      <c r="D31" s="267" t="n">
        <v>0.00036</v>
      </c>
      <c r="E31" s="267" t="n">
        <v>3.6e-07</v>
      </c>
      <c r="F31" s="264" t="inlineStr">
        <is>
          <t>Ref: Oxides_SurfKin row 7</t>
        </is>
      </c>
    </row>
    <row r="32" ht="16" customHeight="1">
      <c r="B32" s="262" t="inlineStr">
        <is>
          <t>Modified A-286</t>
        </is>
      </c>
      <c r="C32" s="263" t="n">
        <v>62100</v>
      </c>
      <c r="D32" s="263" t="n">
        <v>0.00114</v>
      </c>
      <c r="E32" s="266" t="n">
        <v>1.14e-06</v>
      </c>
      <c r="F32" s="262" t="inlineStr">
        <is>
          <t>Ref: Oxides_SurfKin row 8</t>
        </is>
      </c>
    </row>
    <row r="33" ht="18" customHeight="1">
      <c r="B33" s="159" t="inlineStr">
        <is>
          <t>All three steels within 30% of mean over 325–700 K. Isotope correction applied: T₂ data (below 473 K) multiplied by √3/√2 = 1.2247.</t>
        </is>
      </c>
    </row>
    <row r="34" ht="8" customHeight="1"/>
    <row r="35" ht="18" customHeight="1">
      <c r="B35" s="158" t="inlineStr">
        <is>
          <t>Pd-OVER-OXIDE EXPERIMENTS — 21-6-9 (Fig. 2, from text)</t>
        </is>
      </c>
    </row>
    <row r="36" ht="16" customHeight="1">
      <c r="B36" s="159" t="inlineStr">
        <is>
          <t>Three configurations tested to identify rate-controlling surface:</t>
        </is>
      </c>
    </row>
    <row r="37" ht="28" customHeight="1">
      <c r="B37" s="28" t="inlineStr">
        <is>
          <t>Config</t>
        </is>
      </c>
      <c r="C37" s="28" t="inlineStr">
        <is>
          <t>Upstream</t>
        </is>
      </c>
      <c r="D37" s="28" t="inlineStr">
        <is>
          <t>Downstream</t>
        </is>
      </c>
      <c r="E37" s="28" t="inlineStr">
        <is>
          <t>Permeability relative</t>
        </is>
      </c>
      <c r="F37" s="28" t="inlineStr">
        <is>
          <t>Interpretation</t>
        </is>
      </c>
    </row>
    <row r="38" ht="16" customHeight="1">
      <c r="B38" s="262" t="inlineStr">
        <is>
          <t>A</t>
        </is>
      </c>
      <c r="C38" s="262" t="inlineStr">
        <is>
          <t>Pd (no oxide)</t>
        </is>
      </c>
      <c r="D38" s="262" t="inlineStr">
        <is>
          <t>Pd over oxide</t>
        </is>
      </c>
      <c r="E38" s="262" t="inlineStr">
        <is>
          <t>Highest</t>
        </is>
      </c>
      <c r="F38" s="19" t="inlineStr">
        <is>
          <t>Oxide on downstream has little effect</t>
        </is>
      </c>
    </row>
    <row r="39" ht="16" customHeight="1">
      <c r="B39" s="264" t="inlineStr">
        <is>
          <t>B</t>
        </is>
      </c>
      <c r="C39" s="264" t="inlineStr">
        <is>
          <t>Pd over oxide</t>
        </is>
      </c>
      <c r="D39" s="264" t="inlineStr">
        <is>
          <t>Pd over oxide</t>
        </is>
      </c>
      <c r="E39" s="264" t="inlineStr">
        <is>
          <t>Intermediate</t>
        </is>
      </c>
      <c r="F39" s="264" t="inlineStr">
        <is>
          <t>Oxide under Pd reduces permeation</t>
        </is>
      </c>
    </row>
    <row r="40" ht="16" customHeight="1">
      <c r="B40" s="262" t="inlineStr">
        <is>
          <t>C</t>
        </is>
      </c>
      <c r="C40" s="262" t="inlineStr">
        <is>
          <t>Pd over oxide</t>
        </is>
      </c>
      <c r="D40" s="262" t="inlineStr">
        <is>
          <t>No Pd over oxide</t>
        </is>
      </c>
      <c r="E40" s="262" t="inlineStr">
        <is>
          <t>Lowest</t>
        </is>
      </c>
      <c r="F40" s="19" t="inlineStr">
        <is>
          <t>Oxide on upstream critical; downstream less important</t>
        </is>
      </c>
    </row>
    <row r="41" ht="22" customHeight="1">
      <c r="B41" s="164" t="inlineStr">
        <is>
          <t>Combined A+B+C: φ = 8.0×10⁻⁵ × exp(−59.9 kJ/RT) mol D₂/(m·s·MPa^0.5).  Key conclusion: upstream oxide surface is rate-controlling, NOT bulk diffusion through oxide.</t>
        </is>
      </c>
    </row>
    <row r="42" ht="8" customHeight="1"/>
    <row r="43" ht="18" customHeight="1">
      <c r="B43" s="158" t="inlineStr">
        <is>
          <t>OXIDE FILM EFFECTS — key quantitative observations</t>
        </is>
      </c>
    </row>
    <row r="44" ht="28" customHeight="1">
      <c r="B44" s="28" t="inlineStr">
        <is>
          <t>Observation</t>
        </is>
      </c>
      <c r="C44" s="28" t="inlineStr">
        <is>
          <t>Value</t>
        </is>
      </c>
      <c r="D44" s="28" t="inlineStr">
        <is>
          <t>Notes</t>
        </is>
      </c>
    </row>
    <row r="45" ht="18" customHeight="1">
      <c r="B45" s="262" t="inlineStr">
        <is>
          <t>PRF (21-6-9 oxide, 4–15 nm)</t>
        </is>
      </c>
      <c r="C45" s="262" t="inlineStr">
        <is>
          <t>10² to 10³</t>
        </is>
      </c>
      <c r="D45" s="19" t="inlineStr">
        <is>
          <t>Two to three orders of magnitude vs Pd-coated</t>
        </is>
      </c>
    </row>
    <row r="46" ht="18" customHeight="1">
      <c r="B46" s="264" t="inlineStr">
        <is>
          <t>PRF (A-286 oxide, ~4 nm)</t>
        </is>
      </c>
      <c r="C46" s="264" t="inlineStr">
        <is>
          <t>~10² to 10³</t>
        </is>
      </c>
      <c r="D46" s="15" t="inlineStr">
        <is>
          <t>Similar to 21-6-9 despite thinner oxide</t>
        </is>
      </c>
    </row>
    <row r="47" ht="18" customHeight="1">
      <c r="B47" s="262" t="inlineStr">
        <is>
          <t>Activation energy (bare SS)</t>
        </is>
      </c>
      <c r="C47" s="262" t="inlineStr">
        <is>
          <t>62–66 kJ/mol</t>
        </is>
      </c>
      <c r="D47" s="262" t="inlineStr">
        <is>
          <t>From Arrhenius fits above</t>
        </is>
      </c>
    </row>
    <row r="48" ht="18" customHeight="1">
      <c r="B48" s="264" t="inlineStr">
        <is>
          <t>Activation energy (with oxide)</t>
        </is>
      </c>
      <c r="C48" s="264" t="inlineStr">
        <is>
          <t>up to 87 kJ/mol</t>
        </is>
      </c>
      <c r="D48" s="15" t="inlineStr">
        <is>
          <t>Higher than bare — not diffusion-limited through oxide</t>
        </is>
      </c>
    </row>
    <row r="49" ht="18" customHeight="1">
      <c r="B49" s="262" t="inlineStr">
        <is>
          <t>Pressure exponent (bare, Pd-coated)</t>
        </is>
      </c>
      <c r="C49" s="262" t="inlineStr">
        <is>
          <t>n = 0.5</t>
        </is>
      </c>
      <c r="D49" s="19" t="inlineStr">
        <is>
          <t>Sieverts regime — diffusion controlled</t>
        </is>
      </c>
    </row>
    <row r="50" ht="18" customHeight="1">
      <c r="B50" s="264" t="inlineStr">
        <is>
          <t>Pressure exponent (with oxide)</t>
        </is>
      </c>
      <c r="C50" s="264" t="inlineStr">
        <is>
          <t>n = 0.5 to 1</t>
        </is>
      </c>
      <c r="D50" s="15" t="inlineStr">
        <is>
          <t>Intermediate — surface kinetics contribution</t>
        </is>
      </c>
    </row>
    <row r="51" ht="18" customHeight="1">
      <c r="B51" s="262" t="inlineStr">
        <is>
          <t>Oxide thickness (21-6-9)</t>
        </is>
      </c>
      <c r="C51" s="262" t="inlineStr">
        <is>
          <t>~15 nm</t>
        </is>
      </c>
      <c r="D51" s="262" t="inlineStr">
        <is>
          <t>AES sputter profiling</t>
        </is>
      </c>
    </row>
    <row r="52" ht="18" customHeight="1">
      <c r="B52" s="264" t="inlineStr">
        <is>
          <t>Oxide thickness (A-286)</t>
        </is>
      </c>
      <c r="C52" s="264" t="inlineStr">
        <is>
          <t>~4 nm</t>
        </is>
      </c>
      <c r="D52" s="15" t="inlineStr">
        <is>
          <t>AES sputter profiling — thinner despite similar PRF</t>
        </is>
      </c>
    </row>
    <row r="53" ht="18" customHeight="1">
      <c r="B53" s="262" t="inlineStr">
        <is>
          <t>Oxide composition (21-6-9)</t>
        </is>
      </c>
      <c r="C53" s="262" t="inlineStr">
        <is>
          <t>~19% Cr, 43% O, 29% Fe</t>
        </is>
      </c>
      <c r="D53" s="262" t="inlineStr">
        <is>
          <t>Surface oxide normalized AES</t>
        </is>
      </c>
    </row>
    <row r="54" ht="18" customHeight="1">
      <c r="B54" s="264" t="inlineStr">
        <is>
          <t>Ti enrichment (A-286)</t>
        </is>
      </c>
      <c r="C54" s="264" t="inlineStr">
        <is>
          <t>11 at% at surface</t>
        </is>
      </c>
      <c r="D54" s="15" t="inlineStr">
        <is>
          <t>From prior heat treatment — not from passivation</t>
        </is>
      </c>
    </row>
    <row r="55" ht="18" customHeight="1">
      <c r="B55" s="262" t="inlineStr">
        <is>
          <t>Al₂O₃ Q_p (Roberts; cited)</t>
        </is>
      </c>
      <c r="C55" s="262" t="inlineStr">
        <is>
          <t>123 kJ/mol</t>
        </is>
      </c>
      <c r="D55" s="262" t="inlineStr">
        <is>
          <t>Cited as comparison for oxide Ea</t>
        </is>
      </c>
    </row>
    <row r="56" ht="18" customHeight="1">
      <c r="B56" s="264" t="inlineStr">
        <is>
          <t>BeO Q_p (Begeal; cited)</t>
        </is>
      </c>
      <c r="C56" s="264" t="inlineStr">
        <is>
          <t>98 kJ/mol</t>
        </is>
      </c>
      <c r="D56" s="264" t="inlineStr">
        <is>
          <t>Cited as comparison for oxide Ea</t>
        </is>
      </c>
    </row>
    <row r="57" ht="12" customHeight="1"/>
  </sheetData>
  <mergeCells count="14">
    <mergeCell ref="B36:H36"/>
    <mergeCell ref="B9:H9"/>
    <mergeCell ref="B1:H1"/>
    <mergeCell ref="B27:H27"/>
    <mergeCell ref="B35:H35"/>
    <mergeCell ref="B4:H4"/>
    <mergeCell ref="B41:H41"/>
    <mergeCell ref="B43:H43"/>
    <mergeCell ref="B12:H12"/>
    <mergeCell ref="B2:H2"/>
    <mergeCell ref="B33:H33"/>
    <mergeCell ref="B25:H25"/>
    <mergeCell ref="B11:H11"/>
    <mergeCell ref="B28:H28"/>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23"/>
  <sheetViews>
    <sheetView showGridLines="0" workbookViewId="0">
      <selection activeCell="A1" sqref="A1"/>
    </sheetView>
  </sheetViews>
  <sheetFormatPr baseColWidth="8" defaultRowHeight="15"/>
  <cols>
    <col width="32" customWidth="1" min="1" max="1"/>
    <col width="14" customWidth="1" min="2" max="2"/>
    <col width="16" customWidth="1" min="3" max="3"/>
    <col width="18" customWidth="1" min="4" max="4"/>
    <col width="14" customWidth="1" min="5" max="5"/>
    <col width="18" customWidth="1" min="6" max="6"/>
    <col width="14" customWidth="1" min="7" max="7"/>
    <col width="38" customWidth="1" min="8" max="8"/>
  </cols>
  <sheetData>
    <row r="1" ht="26" customHeight="1">
      <c r="A1" s="388" t="inlineStr">
        <is>
          <t>Metal Surface Kinetics — Parameter Analysis &amp; Default Values</t>
        </is>
      </c>
      <c r="B1" s="332" t="n"/>
      <c r="C1" s="332" t="n"/>
      <c r="D1" s="332" t="n"/>
      <c r="E1" s="332" t="n"/>
      <c r="F1" s="332" t="n"/>
      <c r="G1" s="332" t="n"/>
      <c r="H1" s="333" t="n"/>
    </row>
    <row r="2" ht="22" customHeight="1">
      <c r="A2" s="284" t="inlineStr">
        <is>
          <t>Source: Grant et al. 1988 — H₂ on 316 SS, 502–863 K (J. Nucl. Mater. 152, 139).  SINGLE SOURCE — statistical spread not computable. This is a bounds analysis.  T_ref = 900 K (primary operating point). Also shown at 800 K and 965 K.</t>
        </is>
      </c>
      <c r="B2" s="334" t="n"/>
      <c r="C2" s="334" t="n"/>
      <c r="D2" s="334" t="n"/>
      <c r="E2" s="334" t="n"/>
      <c r="F2" s="334" t="n"/>
      <c r="G2" s="334" t="n"/>
      <c r="H2" s="335" t="n"/>
    </row>
    <row r="3" ht="22" customHeight="1">
      <c r="A3" s="285" t="inlineStr">
        <is>
          <t>⚠ Only one paper in database with Arrhenius k₁ for H₂ on steel surfaces. The oxidized surface (Eq.16) is the recommended analog for Hastelloy X/N in service. The clean IBC surface sets an absolute upper bound.</t>
        </is>
      </c>
      <c r="B3" s="334" t="n"/>
      <c r="C3" s="334" t="n"/>
      <c r="D3" s="334" t="n"/>
      <c r="E3" s="334" t="n"/>
      <c r="F3" s="334" t="n"/>
      <c r="G3" s="334" t="n"/>
      <c r="H3" s="335" t="n"/>
    </row>
    <row r="4" ht="8" customHeight="1"/>
    <row r="5" ht="20" customHeight="1">
      <c r="A5" s="389" t="inlineStr">
        <is>
          <t>DATA INVENTORY — Grant 1988 (only source)</t>
        </is>
      </c>
      <c r="B5" s="334" t="n"/>
      <c r="C5" s="334" t="n"/>
      <c r="D5" s="334" t="n"/>
      <c r="E5" s="334" t="n"/>
      <c r="F5" s="334" t="n"/>
      <c r="G5" s="334" t="n"/>
      <c r="H5" s="335" t="n"/>
    </row>
    <row r="6" ht="26" customHeight="1">
      <c r="A6" s="28" t="inlineStr">
        <is>
          <t>Surface Condition</t>
        </is>
      </c>
      <c r="B6" s="28" t="inlineStr">
        <is>
          <t>Eq.</t>
        </is>
      </c>
      <c r="C6" s="28" t="inlineStr">
        <is>
          <t>k₁₀ (mol/m²/s/Pa)</t>
        </is>
      </c>
      <c r="D6" s="28" t="inlineStr">
        <is>
          <t>E_k1 (J/mol)</t>
        </is>
      </c>
      <c r="E6" s="28" t="inlineStr">
        <is>
          <t>k₁ @ 800 K</t>
        </is>
      </c>
      <c r="F6" s="28" t="inlineStr">
        <is>
          <t>k₁ @ 900 K</t>
        </is>
      </c>
      <c r="G6" s="28" t="inlineStr">
        <is>
          <t>k₁ @ 965 K</t>
        </is>
      </c>
      <c r="H6" s="28" t="inlineStr">
        <is>
          <t>Role</t>
        </is>
      </c>
    </row>
    <row r="7" ht="20" customHeight="1">
      <c r="A7" s="339" t="inlineStr">
        <is>
          <t>IBC clean (sputter-cleaned)</t>
        </is>
      </c>
      <c r="B7" s="339" t="inlineStr">
        <is>
          <t>Eq.14</t>
        </is>
      </c>
      <c r="C7" s="288" t="n">
        <v>0.032</v>
      </c>
      <c r="D7" s="288" t="n">
        <v>80729</v>
      </c>
      <c r="E7" s="289" t="n">
        <v>1.71355002039074e-07</v>
      </c>
      <c r="F7" s="289" t="n">
        <v>6.600724180186949e-07</v>
      </c>
      <c r="G7" s="289" t="n">
        <v>1.36520900958296e-06</v>
      </c>
      <c r="H7" s="339" t="inlineStr">
        <is>
          <t>Upper bound — clean bare metal</t>
        </is>
      </c>
    </row>
    <row r="8" ht="20" customHeight="1">
      <c r="A8" s="401" t="inlineStr">
        <is>
          <t>Partial IBC (intermediate)</t>
        </is>
      </c>
      <c r="B8" s="401" t="inlineStr">
        <is>
          <t>Eq.15</t>
        </is>
      </c>
      <c r="C8" s="291" t="n">
        <v>0.00014</v>
      </c>
      <c r="D8" s="380" t="n">
        <v>61357</v>
      </c>
      <c r="E8" s="291" t="n">
        <v>1.379692599287664e-08</v>
      </c>
      <c r="F8" s="291" t="n">
        <v>3.84531442436241e-08</v>
      </c>
      <c r="G8" s="291" t="n">
        <v>6.680441646409119e-08</v>
      </c>
      <c r="H8" s="401" t="inlineStr">
        <is>
          <t>Intermediate — unstable condition</t>
        </is>
      </c>
    </row>
    <row r="9" ht="20" customHeight="1">
      <c r="A9" s="398" t="inlineStr">
        <is>
          <t>Oxidized both surfaces (★)</t>
        </is>
      </c>
      <c r="B9" s="398" t="inlineStr">
        <is>
          <t>Eq.16</t>
        </is>
      </c>
      <c r="C9" s="294" t="n">
        <v>0.00013</v>
      </c>
      <c r="D9" s="397" t="n">
        <v>57949</v>
      </c>
      <c r="E9" s="294" t="n">
        <v>2.138578786483589e-08</v>
      </c>
      <c r="F9" s="294" t="n">
        <v>5.630532733694786e-08</v>
      </c>
      <c r="G9" s="294" t="n">
        <v>9.486354138884297e-08</v>
      </c>
      <c r="H9" s="398" t="inlineStr">
        <is>
          <t>★ DEFAULT — best oxide analog</t>
        </is>
      </c>
    </row>
    <row r="10" ht="8" customHeight="1"/>
    <row r="11" ht="20" customHeight="1">
      <c r="A11" s="394" t="inlineStr">
        <is>
          <t>★ DEFAULT VALUES (recommended model inputs)</t>
        </is>
      </c>
      <c r="B11" s="334" t="n"/>
      <c r="C11" s="334" t="n"/>
      <c r="D11" s="334" t="n"/>
      <c r="E11" s="334" t="n"/>
      <c r="F11" s="334" t="n"/>
      <c r="G11" s="334" t="n"/>
      <c r="H11" s="335" t="n"/>
    </row>
    <row r="12" ht="24" customHeight="1">
      <c r="A12" s="36" t="inlineStr">
        <is>
          <t>Parameter</t>
        </is>
      </c>
      <c r="B12" s="36" t="inlineStr">
        <is>
          <t>Symbol</t>
        </is>
      </c>
      <c r="C12" s="36" t="inlineStr">
        <is>
          <t>Default Value</t>
        </is>
      </c>
      <c r="D12" s="36" t="inlineStr">
        <is>
          <t>Units</t>
        </is>
      </c>
      <c r="E12" s="36" t="inlineStr">
        <is>
          <t>T_ref (K)</t>
        </is>
      </c>
      <c r="F12" s="36" t="inlineStr">
        <is>
          <t>Confidence</t>
        </is>
      </c>
      <c r="G12" s="36" t="inlineStr">
        <is>
          <t>Source</t>
        </is>
      </c>
      <c r="H12" s="36" t="inlineStr">
        <is>
          <t>Notes</t>
        </is>
      </c>
    </row>
    <row r="13" ht="20" customHeight="1">
      <c r="A13" s="396" t="inlineStr">
        <is>
          <t>Dissociative adsorption k₁</t>
        </is>
      </c>
      <c r="B13" s="396" t="inlineStr">
        <is>
          <t>k₁</t>
        </is>
      </c>
      <c r="C13" s="298" t="n">
        <v>5.631e-08</v>
      </c>
      <c r="D13" s="396" t="inlineStr">
        <is>
          <t>mol/m²/s/Pa</t>
        </is>
      </c>
      <c r="E13" s="395" t="n">
        <v>900</v>
      </c>
      <c r="F13" s="396" t="inlineStr">
        <is>
          <t>Low (single source)</t>
        </is>
      </c>
      <c r="G13" s="396" t="inlineStr">
        <is>
          <t>Grant 1988 Eq.16</t>
        </is>
      </c>
      <c r="H13" s="300" t="inlineStr">
        <is>
          <t>Oxidized SS 316 surface — best Hastelloy oxide analog</t>
        </is>
      </c>
    </row>
    <row r="14" ht="20" customHeight="1">
      <c r="A14" s="398" t="inlineStr">
        <is>
          <t>Pre-exponential k₁₀</t>
        </is>
      </c>
      <c r="B14" s="398" t="inlineStr">
        <is>
          <t>k₁₀</t>
        </is>
      </c>
      <c r="C14" s="294" t="n">
        <v>0.00013</v>
      </c>
      <c r="D14" s="398" t="inlineStr">
        <is>
          <t>mol/m²/s/Pa</t>
        </is>
      </c>
      <c r="E14" s="398" t="inlineStr">
        <is>
          <t>N/A</t>
        </is>
      </c>
      <c r="F14" s="398" t="inlineStr">
        <is>
          <t>Low</t>
        </is>
      </c>
      <c r="G14" s="398" t="inlineStr">
        <is>
          <t>Grant 1988</t>
        </is>
      </c>
      <c r="H14" s="301" t="inlineStr">
        <is>
          <t>Arrhenius pre-factor for oxidized surface</t>
        </is>
      </c>
    </row>
    <row r="15" ht="20" customHeight="1">
      <c r="A15" s="396" t="inlineStr">
        <is>
          <t>Activation energy E_k1</t>
        </is>
      </c>
      <c r="B15" s="396" t="inlineStr">
        <is>
          <t>E_k1</t>
        </is>
      </c>
      <c r="C15" s="395" t="n">
        <v>57949</v>
      </c>
      <c r="D15" s="396" t="inlineStr">
        <is>
          <t>J/mol</t>
        </is>
      </c>
      <c r="E15" s="396" t="inlineStr">
        <is>
          <t>N/A</t>
        </is>
      </c>
      <c r="F15" s="396" t="inlineStr">
        <is>
          <t>Low</t>
        </is>
      </c>
      <c r="G15" s="396" t="inlineStr">
        <is>
          <t>Grant 1988</t>
        </is>
      </c>
      <c r="H15" s="396" t="inlineStr">
        <is>
          <t>6.97 kJ/mol × R = 57,949 J/mol</t>
        </is>
      </c>
    </row>
    <row r="16" ht="8" customHeight="1"/>
    <row r="17" ht="20" customHeight="1">
      <c r="A17" s="366" t="inlineStr">
        <is>
          <t>SENSITIVITY RANGES</t>
        </is>
      </c>
      <c r="B17" s="334" t="n"/>
      <c r="C17" s="334" t="n"/>
      <c r="D17" s="334" t="n"/>
      <c r="E17" s="334" t="n"/>
      <c r="F17" s="334" t="n"/>
      <c r="G17" s="334" t="n"/>
      <c r="H17" s="335" t="n"/>
    </row>
    <row r="18" ht="26" customHeight="1">
      <c r="A18" s="303" t="inlineStr">
        <is>
          <t>Parameter</t>
        </is>
      </c>
      <c r="B18" s="303" t="inlineStr">
        <is>
          <t>Symbol</t>
        </is>
      </c>
      <c r="C18" s="303" t="inlineStr">
        <is>
          <t>Pessimistic (low barrier)</t>
        </is>
      </c>
      <c r="D18" s="303" t="inlineStr">
        <is>
          <t>Nominal (default)</t>
        </is>
      </c>
      <c r="E18" s="303" t="inlineStr">
        <is>
          <t>Optimistic (high barrier)</t>
        </is>
      </c>
      <c r="F18" s="303" t="inlineStr">
        <is>
          <t>Span</t>
        </is>
      </c>
      <c r="G18" s="303" t="inlineStr">
        <is>
          <t>Basis</t>
        </is>
      </c>
      <c r="H18" s="303" t="inlineStr">
        <is>
          <t>Notes</t>
        </is>
      </c>
    </row>
    <row r="19" ht="18" customHeight="1">
      <c r="A19" s="368" t="inlineStr">
        <is>
          <t>k₁ at 900 K</t>
        </is>
      </c>
      <c r="B19" s="368" t="inlineStr">
        <is>
          <t>k₁(900K)</t>
        </is>
      </c>
      <c r="C19" s="368" t="inlineStr">
        <is>
          <t>5.63×10⁻⁸ (oxidized)</t>
        </is>
      </c>
      <c r="D19" s="368" t="inlineStr">
        <is>
          <t>5.63×10⁻⁸</t>
        </is>
      </c>
      <c r="E19" s="368" t="inlineStr">
        <is>
          <t>6.60×10⁻⁷ (IBC clean)</t>
        </is>
      </c>
      <c r="F19" s="368" t="inlineStr">
        <is>
          <t>~12×</t>
        </is>
      </c>
      <c r="G19" s="368" t="inlineStr">
        <is>
          <t>Grant 1988 surface condition range</t>
        </is>
      </c>
      <c r="H19" s="305" t="inlineStr">
        <is>
          <t>Pessimistic = oxidized (lowest k₁); Optimistic = clean (highest k₁)</t>
        </is>
      </c>
    </row>
    <row r="20" ht="18" customHeight="1">
      <c r="A20" s="369" t="inlineStr">
        <is>
          <t>Activation energy</t>
        </is>
      </c>
      <c r="B20" s="369" t="inlineStr">
        <is>
          <t>E_k1</t>
        </is>
      </c>
      <c r="C20" s="369" t="inlineStr">
        <is>
          <t>57,949 J/mol (oxidized)</t>
        </is>
      </c>
      <c r="D20" s="369" t="inlineStr">
        <is>
          <t>57,949 J/mol</t>
        </is>
      </c>
      <c r="E20" s="369" t="inlineStr">
        <is>
          <t>80,729 J/mol (IBC clean)</t>
        </is>
      </c>
      <c r="F20" s="369" t="inlineStr">
        <is>
          <t>~40%</t>
        </is>
      </c>
      <c r="G20" s="369" t="inlineStr">
        <is>
          <t>Grant 1988 three conditions</t>
        </is>
      </c>
      <c r="H20" s="307" t="inlineStr">
        <is>
          <t>Higher E_k1 → stronger T-dependence; clean surface most sensitive to T</t>
        </is>
      </c>
    </row>
    <row r="21" ht="18" customHeight="1">
      <c r="A21" s="368" t="inlineStr">
        <is>
          <t>Pre-exponential</t>
        </is>
      </c>
      <c r="B21" s="368" t="inlineStr">
        <is>
          <t>k₁₀</t>
        </is>
      </c>
      <c r="C21" s="368" t="inlineStr">
        <is>
          <t>1.3×10⁻⁴ (oxidized)</t>
        </is>
      </c>
      <c r="D21" s="368" t="inlineStr">
        <is>
          <t>1.3×10⁻⁴</t>
        </is>
      </c>
      <c r="E21" s="368" t="inlineStr">
        <is>
          <t>3.2×10⁻² (IBC clean)</t>
        </is>
      </c>
      <c r="F21" s="368" t="inlineStr">
        <is>
          <t>~250×</t>
        </is>
      </c>
      <c r="G21" s="368" t="inlineStr">
        <is>
          <t>Grant 1988</t>
        </is>
      </c>
      <c r="H21" s="305" t="inlineStr">
        <is>
          <t>k₁₀ span larger than k₁ span because E_k1 also varies</t>
        </is>
      </c>
    </row>
    <row r="22" ht="8" customHeight="1"/>
    <row r="23" ht="28" customHeight="1">
      <c r="A23" s="285" t="inlineStr">
        <is>
          <t>CONFIDENCE: LOW — single paper, single steel grade, not measured on Ni-base alloy or actual Cr₂O₃/Al₂O₃ film. Oxidized row is most conservative (lowest k₁) and should be used as the nominal value for Hastelloy X/N with in-service oxide.</t>
        </is>
      </c>
      <c r="B23" s="334" t="n"/>
      <c r="C23" s="334" t="n"/>
      <c r="D23" s="334" t="n"/>
      <c r="E23" s="334" t="n"/>
      <c r="F23" s="334" t="n"/>
      <c r="G23" s="334" t="n"/>
      <c r="H23" s="335" t="n"/>
    </row>
  </sheetData>
  <mergeCells count="7">
    <mergeCell ref="A1:H1"/>
    <mergeCell ref="A3:H3"/>
    <mergeCell ref="A2:H2"/>
    <mergeCell ref="A11:H11"/>
    <mergeCell ref="A5:H5"/>
    <mergeCell ref="A23:H23"/>
    <mergeCell ref="A17:H17"/>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43"/>
  <sheetViews>
    <sheetView showGridLines="0" workbookViewId="0">
      <selection activeCell="A1" sqref="A1"/>
    </sheetView>
  </sheetViews>
  <sheetFormatPr baseColWidth="8" defaultRowHeight="15"/>
  <cols>
    <col width="32" customWidth="1" min="1" max="1"/>
    <col width="10" customWidth="1" min="2" max="2"/>
    <col width="16" customWidth="1" min="3" max="3"/>
    <col width="14" customWidth="1" min="4" max="4"/>
    <col width="14" customWidth="1" min="5" max="5"/>
    <col width="14" customWidth="1" min="6" max="6"/>
    <col width="14" customWidth="1" min="7" max="7"/>
    <col width="38" customWidth="1" min="8" max="8"/>
  </cols>
  <sheetData>
    <row r="1" ht="26" customHeight="1">
      <c r="A1" s="388" t="inlineStr">
        <is>
          <t>Cr₂O₃ Oxide Transport — Parameter Analysis &amp; Default Values</t>
        </is>
      </c>
      <c r="B1" s="332" t="n"/>
      <c r="C1" s="332" t="n"/>
      <c r="D1" s="332" t="n"/>
      <c r="E1" s="332" t="n"/>
      <c r="F1" s="332" t="n"/>
      <c r="G1" s="332" t="n"/>
      <c r="H1" s="333" t="n"/>
    </row>
    <row r="2" ht="22" customHeight="1">
      <c r="A2" s="284" t="inlineStr">
        <is>
          <t>Sources: Nemanic 2023 (Tier 1, measured Phi/D at 673K) | Chen 2011 (DFT E_D consensus) | Stover 1986 (Tier 3, Q_p range from Arrhenius slopes) | Hollenberg 1995 (Tier 3, PRF only). T_ref = 900 K (primary). Also shown at 673 K (measurement T).</t>
        </is>
      </c>
      <c r="B2" s="334" t="n"/>
      <c r="C2" s="334" t="n"/>
      <c r="D2" s="334" t="n"/>
      <c r="E2" s="334" t="n"/>
      <c r="F2" s="334" t="n"/>
      <c r="G2" s="334" t="n"/>
      <c r="H2" s="335" t="n"/>
    </row>
    <row r="3" ht="28" customHeight="1">
      <c r="A3" s="285" t="inlineStr">
        <is>
          <t>⚠ KEY UNCERTAINTY: H_sol_ox unknown. If H_sol_ox = 0 (assumed), Q_p = E_D = 70,434 J/mol. If Stover 1986 undamaged oxide is representative, Q_p = 234,000 J/mol. This is a factor &gt;3× range in Q_p — the dominant uncertainty in the model.</t>
        </is>
      </c>
      <c r="B3" s="334" t="n"/>
      <c r="C3" s="334" t="n"/>
      <c r="D3" s="334" t="n"/>
      <c r="E3" s="334" t="n"/>
      <c r="F3" s="334" t="n"/>
      <c r="G3" s="334" t="n"/>
      <c r="H3" s="335" t="n"/>
    </row>
    <row r="4" ht="8" customHeight="1"/>
    <row r="5" ht="20" customHeight="1">
      <c r="A5" s="389" t="inlineStr">
        <is>
          <t>DATA INVENTORY</t>
        </is>
      </c>
      <c r="B5" s="334" t="n"/>
      <c r="C5" s="334" t="n"/>
      <c r="D5" s="334" t="n"/>
      <c r="E5" s="334" t="n"/>
      <c r="F5" s="334" t="n"/>
      <c r="G5" s="334" t="n"/>
      <c r="H5" s="335" t="n"/>
    </row>
    <row r="6" ht="28" customHeight="1">
      <c r="A6" s="28" t="inlineStr">
        <is>
          <t>Entry</t>
        </is>
      </c>
      <c r="B6" s="28" t="inlineStr">
        <is>
          <t>Tier</t>
        </is>
      </c>
      <c r="C6" s="28" t="inlineStr">
        <is>
          <t>Phi_ox at meas. T</t>
        </is>
      </c>
      <c r="D6" s="28" t="inlineStr">
        <is>
          <t>Meas. T (K)</t>
        </is>
      </c>
      <c r="E6" s="28" t="inlineStr">
        <is>
          <t>Q_p (J/mol)</t>
        </is>
      </c>
      <c r="F6" s="28" t="inlineStr">
        <is>
          <t>E_D_ox (J/mol)</t>
        </is>
      </c>
      <c r="G6" s="28" t="inlineStr">
        <is>
          <t>Phi_ox @ 900K (extrap.)</t>
        </is>
      </c>
      <c r="H6" s="28" t="inlineStr">
        <is>
          <t>Notes</t>
        </is>
      </c>
    </row>
    <row r="7" ht="18" customHeight="1">
      <c r="A7" s="392" t="inlineStr">
        <is>
          <t>Nemanic 2023 Sample 4 (48nm)</t>
        </is>
      </c>
      <c r="B7" s="392" t="inlineStr">
        <is>
          <t>1</t>
        </is>
      </c>
      <c r="C7" s="309" t="n">
        <v>3.4e-19</v>
      </c>
      <c r="D7" s="390" t="n">
        <v>673</v>
      </c>
      <c r="E7" s="390" t="n">
        <v>70434</v>
      </c>
      <c r="F7" s="390" t="n">
        <v>70434</v>
      </c>
      <c r="G7" s="309" t="n">
        <v>8.134933601366537e-18</v>
      </c>
      <c r="H7" s="392" t="inlineStr">
        <is>
          <t>Tier 1. H_sol=0 assumed → Q_p=E_D</t>
        </is>
      </c>
    </row>
    <row r="8" ht="18" customHeight="1">
      <c r="A8" s="391" t="inlineStr">
        <is>
          <t>Nemanic 2023 Sample 3 (28nm)</t>
        </is>
      </c>
      <c r="B8" s="391" t="inlineStr">
        <is>
          <t>1</t>
        </is>
      </c>
      <c r="C8" s="312" t="n">
        <v>7e-20</v>
      </c>
      <c r="D8" s="393" t="n">
        <v>673</v>
      </c>
      <c r="E8" s="391" t="inlineStr">
        <is>
          <t>—</t>
        </is>
      </c>
      <c r="F8" s="393" t="n">
        <v>70434</v>
      </c>
      <c r="G8" s="312" t="n">
        <v>1.674839270869581e-18</v>
      </c>
      <c r="H8" s="391" t="inlineStr">
        <is>
          <t>Tier 1. Single T, Q_p not extractable</t>
        </is>
      </c>
    </row>
    <row r="9" ht="18" customHeight="1">
      <c r="A9" s="392" t="inlineStr">
        <is>
          <t>Stover 1986 — most damaged</t>
        </is>
      </c>
      <c r="B9" s="392" t="inlineStr">
        <is>
          <t>3</t>
        </is>
      </c>
      <c r="C9" s="309" t="n">
        <v>7.2e-19</v>
      </c>
      <c r="D9" s="390" t="n">
        <v>673</v>
      </c>
      <c r="E9" s="390" t="n">
        <v>100000</v>
      </c>
      <c r="F9" s="390" t="n">
        <v>70434</v>
      </c>
      <c r="G9" s="309" t="n">
        <v>6.531552485409428e-17</v>
      </c>
      <c r="H9" s="314" t="inlineStr">
        <is>
          <t>Shared Phi (Nemanic 2019 Eq.4, df assumed)</t>
        </is>
      </c>
    </row>
    <row r="10" ht="18" customHeight="1">
      <c r="A10" s="391" t="inlineStr">
        <is>
          <t>Stover 1986 — intermediate A</t>
        </is>
      </c>
      <c r="B10" s="391" t="inlineStr">
        <is>
          <t>3</t>
        </is>
      </c>
      <c r="C10" s="312" t="n">
        <v>7.2e-19</v>
      </c>
      <c r="D10" s="393" t="n">
        <v>673</v>
      </c>
      <c r="E10" s="393" t="n">
        <v>125000</v>
      </c>
      <c r="F10" s="393" t="n">
        <v>70434</v>
      </c>
      <c r="G10" s="312" t="n">
        <v>2.015753405561453e-16</v>
      </c>
      <c r="H10" s="391" t="inlineStr">
        <is>
          <t>Shared Phi</t>
        </is>
      </c>
    </row>
    <row r="11" ht="18" customHeight="1">
      <c r="A11" s="392" t="inlineStr">
        <is>
          <t>Stover 1986 — intermediate B</t>
        </is>
      </c>
      <c r="B11" s="392" t="inlineStr">
        <is>
          <t>3</t>
        </is>
      </c>
      <c r="C11" s="309" t="n">
        <v>7.2e-19</v>
      </c>
      <c r="D11" s="390" t="n">
        <v>673</v>
      </c>
      <c r="E11" s="390" t="n">
        <v>135000</v>
      </c>
      <c r="F11" s="390" t="n">
        <v>70434</v>
      </c>
      <c r="G11" s="309" t="n">
        <v>3.163776491271335e-16</v>
      </c>
      <c r="H11" s="392" t="inlineStr">
        <is>
          <t>Shared Phi</t>
        </is>
      </c>
    </row>
    <row r="12" ht="18" customHeight="1">
      <c r="A12" s="391" t="inlineStr">
        <is>
          <t>Stover 1986 — intermediate C</t>
        </is>
      </c>
      <c r="B12" s="391" t="inlineStr">
        <is>
          <t>3</t>
        </is>
      </c>
      <c r="C12" s="312" t="n">
        <v>7.2e-19</v>
      </c>
      <c r="D12" s="393" t="n">
        <v>673</v>
      </c>
      <c r="E12" s="393" t="n">
        <v>143000</v>
      </c>
      <c r="F12" s="393" t="n">
        <v>70434</v>
      </c>
      <c r="G12" s="312" t="n">
        <v>4.537540440001285e-16</v>
      </c>
      <c r="H12" s="391" t="inlineStr">
        <is>
          <t>Shared Phi</t>
        </is>
      </c>
    </row>
    <row r="13" ht="18" customHeight="1">
      <c r="A13" s="392" t="inlineStr">
        <is>
          <t>Stover 1986 — undamaged</t>
        </is>
      </c>
      <c r="B13" s="392" t="inlineStr">
        <is>
          <t>3</t>
        </is>
      </c>
      <c r="C13" s="309" t="n">
        <v>7.2e-19</v>
      </c>
      <c r="D13" s="390" t="n">
        <v>673</v>
      </c>
      <c r="E13" s="390" t="n">
        <v>234000</v>
      </c>
      <c r="F13" s="390" t="n">
        <v>70434</v>
      </c>
      <c r="G13" s="309" t="n">
        <v>2.743550003794512e-14</v>
      </c>
      <c r="H13" s="392" t="inlineStr">
        <is>
          <t>Undamaged oxide = best barrier</t>
        </is>
      </c>
    </row>
    <row r="14" ht="18" customHeight="1">
      <c r="A14" s="391" t="inlineStr">
        <is>
          <t>Chen 2011 DFT (E_D only)</t>
        </is>
      </c>
      <c r="B14" s="391" t="inlineStr">
        <is>
          <t>DFT</t>
        </is>
      </c>
      <c r="C14" s="391" t="inlineStr">
        <is>
          <t>—</t>
        </is>
      </c>
      <c r="D14" s="391" t="inlineStr">
        <is>
          <t>—</t>
        </is>
      </c>
      <c r="E14" s="391" t="inlineStr">
        <is>
          <t>—</t>
        </is>
      </c>
      <c r="F14" s="393" t="n">
        <v>70434</v>
      </c>
      <c r="G14" s="391" t="inlineStr">
        <is>
          <t>—</t>
        </is>
      </c>
      <c r="H14" s="315" t="inlineStr">
        <is>
          <t>Perfect crystal. No Phi or K_s. E_D consensus value.</t>
        </is>
      </c>
    </row>
    <row r="15" ht="18" customHeight="1">
      <c r="A15" s="392" t="inlineStr">
        <is>
          <t>Hollenberg 1995</t>
        </is>
      </c>
      <c r="B15" s="392" t="inlineStr">
        <is>
          <t>3</t>
        </is>
      </c>
      <c r="C15" s="392" t="inlineStr">
        <is>
          <t>—</t>
        </is>
      </c>
      <c r="D15" s="390" t="n">
        <v>873</v>
      </c>
      <c r="E15" s="392" t="inlineStr">
        <is>
          <t>—</t>
        </is>
      </c>
      <c r="F15" s="392" t="inlineStr">
        <is>
          <t>—</t>
        </is>
      </c>
      <c r="G15" s="392" t="inlineStr">
        <is>
          <t>—</t>
        </is>
      </c>
      <c r="H15" s="314" t="inlineStr">
        <is>
          <t>PRF only: 10 (upstream) and 100 (downstream). No Phi.</t>
        </is>
      </c>
    </row>
    <row r="16" ht="8" customHeight="1"/>
    <row r="17" ht="20" customHeight="1">
      <c r="A17" s="389" t="inlineStr">
        <is>
          <t>Q_p STATISTICAL SUMMARY (experimental values only)</t>
        </is>
      </c>
      <c r="B17" s="334" t="n"/>
      <c r="C17" s="334" t="n"/>
      <c r="D17" s="334" t="n"/>
      <c r="E17" s="334" t="n"/>
      <c r="F17" s="334" t="n"/>
      <c r="G17" s="334" t="n"/>
      <c r="H17" s="335" t="n"/>
    </row>
    <row r="18" ht="24" customHeight="1">
      <c r="A18" s="28" t="inlineStr">
        <is>
          <t>Statistic</t>
        </is>
      </c>
      <c r="B18" s="28" t="inlineStr">
        <is>
          <t>Q_p (J/mol)</t>
        </is>
      </c>
      <c r="C18" s="28" t="inlineStr">
        <is>
          <t>Q_p (kJ/mol)</t>
        </is>
      </c>
      <c r="D18" s="28" t="inlineStr">
        <is>
          <t>Source count</t>
        </is>
      </c>
      <c r="E18" s="28" t="inlineStr">
        <is>
          <t>Notes</t>
        </is>
      </c>
      <c r="F18" s="28" t="inlineStr"/>
      <c r="G18" s="28" t="inlineStr"/>
      <c r="H18" s="28" t="inlineStr"/>
    </row>
    <row r="19" ht="18" customHeight="1">
      <c r="A19" s="316" t="inlineStr">
        <is>
          <t>Minimum (H_sol=0 assumed)</t>
        </is>
      </c>
      <c r="B19" s="317" t="n">
        <v>70434</v>
      </c>
      <c r="C19" s="317" t="n">
        <v>70.40000000000001</v>
      </c>
      <c r="D19" s="317" t="n">
        <v>1</v>
      </c>
      <c r="E19" s="316" t="inlineStr">
        <is>
          <t>Nemanic 2023 with H_sol=0 assumption</t>
        </is>
      </c>
    </row>
    <row r="20" ht="18" customHeight="1">
      <c r="A20" s="316" t="inlineStr">
        <is>
          <t>Stover low (most damaged)</t>
        </is>
      </c>
      <c r="B20" s="317" t="n">
        <v>100000</v>
      </c>
      <c r="C20" s="317" t="n">
        <v>100</v>
      </c>
      <c r="D20" s="317" t="n">
        <v>1</v>
      </c>
      <c r="E20" s="316" t="inlineStr">
        <is>
          <t>Stover 1986 most damaged oxide sample</t>
        </is>
      </c>
    </row>
    <row r="21" ht="18" customHeight="1">
      <c r="A21" s="316" t="inlineStr">
        <is>
          <t>Geomean (all sources)</t>
        </is>
      </c>
      <c r="B21" s="317" t="n">
        <v>125872</v>
      </c>
      <c r="C21" s="317" t="n">
        <v>125.9</v>
      </c>
      <c r="D21" s="317" t="n">
        <v>6</v>
      </c>
      <c r="E21" s="316" t="inlineStr">
        <is>
          <t>All 6 experimental Q_p values</t>
        </is>
      </c>
    </row>
    <row r="22" ht="18" customHeight="1">
      <c r="A22" s="316" t="inlineStr">
        <is>
          <t>Median (all sources)</t>
        </is>
      </c>
      <c r="B22" s="317" t="n">
        <v>130000</v>
      </c>
      <c r="C22" s="317" t="n">
        <v>130</v>
      </c>
      <c r="D22" s="317" t="n">
        <v>6</v>
      </c>
      <c r="E22" s="316" t="inlineStr">
        <is>
          <t>Midpoint of experimental range</t>
        </is>
      </c>
    </row>
    <row r="23" ht="18" customHeight="1">
      <c r="A23" s="316" t="inlineStr">
        <is>
          <t>Maximum (undamaged)</t>
        </is>
      </c>
      <c r="B23" s="317" t="n">
        <v>234000</v>
      </c>
      <c r="C23" s="317" t="n">
        <v>234</v>
      </c>
      <c r="D23" s="317" t="n">
        <v>1</v>
      </c>
      <c r="E23" s="318" t="inlineStr">
        <is>
          <t>Stover 1986 undamaged + Nemanic updated rows</t>
        </is>
      </c>
    </row>
    <row r="24" ht="8" customHeight="1"/>
    <row r="25" ht="20" customHeight="1">
      <c r="A25" s="394" t="inlineStr">
        <is>
          <t>★ DEFAULT VALUES (recommended model inputs)</t>
        </is>
      </c>
      <c r="B25" s="334" t="n"/>
      <c r="C25" s="334" t="n"/>
      <c r="D25" s="334" t="n"/>
      <c r="E25" s="334" t="n"/>
      <c r="F25" s="334" t="n"/>
      <c r="G25" s="334" t="n"/>
      <c r="H25" s="335" t="n"/>
    </row>
    <row r="26" ht="24" customHeight="1">
      <c r="A26" s="36" t="inlineStr">
        <is>
          <t>Parameter</t>
        </is>
      </c>
      <c r="B26" s="36" t="inlineStr">
        <is>
          <t>Symbol</t>
        </is>
      </c>
      <c r="C26" s="36" t="inlineStr">
        <is>
          <t>Default Value</t>
        </is>
      </c>
      <c r="D26" s="36" t="inlineStr">
        <is>
          <t>Units</t>
        </is>
      </c>
      <c r="E26" s="36" t="inlineStr">
        <is>
          <t>T_ref (K)</t>
        </is>
      </c>
      <c r="F26" s="36" t="inlineStr">
        <is>
          <t>Confidence</t>
        </is>
      </c>
      <c r="G26" s="36" t="inlineStr">
        <is>
          <t>Source</t>
        </is>
      </c>
      <c r="H26" s="36" t="inlineStr">
        <is>
          <t>Notes</t>
        </is>
      </c>
    </row>
    <row r="27" ht="20" customHeight="1">
      <c r="A27" s="396" t="inlineStr">
        <is>
          <t>Diffusivity pre-exp</t>
        </is>
      </c>
      <c r="B27" s="396" t="inlineStr">
        <is>
          <t>D_ox_0</t>
        </is>
      </c>
      <c r="C27" s="298" t="n">
        <v>1.78e-09</v>
      </c>
      <c r="D27" s="396" t="inlineStr">
        <is>
          <t>m²/s</t>
        </is>
      </c>
      <c r="E27" s="396" t="inlineStr">
        <is>
          <t>N/A</t>
        </is>
      </c>
      <c r="F27" s="396" t="inlineStr">
        <is>
          <t>Medium</t>
        </is>
      </c>
      <c r="G27" s="396" t="inlineStr">
        <is>
          <t>Chen 2011 DFT</t>
        </is>
      </c>
      <c r="H27" s="396" t="inlineStr">
        <is>
          <t>1.78×10⁻⁹ from MD at 1400K</t>
        </is>
      </c>
    </row>
    <row r="28" ht="20" customHeight="1">
      <c r="A28" s="398" t="inlineStr">
        <is>
          <t>Diffusion activation</t>
        </is>
      </c>
      <c r="B28" s="398" t="inlineStr">
        <is>
          <t>E_D_ox</t>
        </is>
      </c>
      <c r="C28" s="294" t="n">
        <v>70434</v>
      </c>
      <c r="D28" s="398" t="inlineStr">
        <is>
          <t>J/mol</t>
        </is>
      </c>
      <c r="E28" s="398" t="inlineStr">
        <is>
          <t>N/A</t>
        </is>
      </c>
      <c r="F28" s="398" t="inlineStr">
        <is>
          <t>Medium</t>
        </is>
      </c>
      <c r="G28" s="398" t="inlineStr">
        <is>
          <t>Chen 2011 DFT</t>
        </is>
      </c>
      <c r="H28" s="301" t="inlineStr">
        <is>
          <t>0.73 eV — consensus across all Cr₂O₃ entries</t>
        </is>
      </c>
    </row>
    <row r="29" ht="20" customHeight="1">
      <c r="A29" s="396" t="inlineStr">
        <is>
          <t>D_ox at 900 K</t>
        </is>
      </c>
      <c r="B29" s="396" t="inlineStr">
        <is>
          <t>D_ox</t>
        </is>
      </c>
      <c r="C29" s="298" t="n">
        <v>1.453414313651774e-13</v>
      </c>
      <c r="D29" s="396" t="inlineStr">
        <is>
          <t>m²/s</t>
        </is>
      </c>
      <c r="E29" s="395" t="n">
        <v>900</v>
      </c>
      <c r="F29" s="396" t="inlineStr">
        <is>
          <t>Medium</t>
        </is>
      </c>
      <c r="G29" s="396" t="inlineStr">
        <is>
          <t>Chen 2011</t>
        </is>
      </c>
      <c r="H29" s="396" t="inlineStr">
        <is>
          <t>D₀ × exp(-E_D/RT)</t>
        </is>
      </c>
    </row>
    <row r="30" ht="20" customHeight="1">
      <c r="A30" s="398" t="inlineStr">
        <is>
          <t>Permeability (H_sol=0)</t>
        </is>
      </c>
      <c r="B30" s="398" t="inlineStr">
        <is>
          <t>Phi_ox</t>
        </is>
      </c>
      <c r="C30" s="294" t="n">
        <v>8.134933601366537e-18</v>
      </c>
      <c r="D30" s="398" t="inlineStr">
        <is>
          <t>mol/m/s/Pa⁰·⁵</t>
        </is>
      </c>
      <c r="E30" s="397" t="n">
        <v>900</v>
      </c>
      <c r="F30" s="398" t="inlineStr">
        <is>
          <t>Low</t>
        </is>
      </c>
      <c r="G30" s="398" t="inlineStr">
        <is>
          <t>Nemanic 2023 S4</t>
        </is>
      </c>
      <c r="H30" s="301" t="inlineStr">
        <is>
          <t>Q_p = E_D = 70,434 J/mol — conservative assumption</t>
        </is>
      </c>
    </row>
    <row r="31" ht="20" customHeight="1">
      <c r="A31" s="396" t="inlineStr">
        <is>
          <t>Q_p (H_sol=0 basis)</t>
        </is>
      </c>
      <c r="B31" s="396" t="inlineStr">
        <is>
          <t>Q_p_ox</t>
        </is>
      </c>
      <c r="C31" s="395" t="n">
        <v>70434</v>
      </c>
      <c r="D31" s="396" t="inlineStr">
        <is>
          <t>J/mol</t>
        </is>
      </c>
      <c r="E31" s="396" t="inlineStr">
        <is>
          <t>N/A</t>
        </is>
      </c>
      <c r="F31" s="396" t="inlineStr">
        <is>
          <t>Low</t>
        </is>
      </c>
      <c r="G31" s="396" t="inlineStr">
        <is>
          <t>Nemanic 2023</t>
        </is>
      </c>
      <c r="H31" s="300" t="inlineStr">
        <is>
          <t>⚠ H_sol=0 assumed. True Q_p likely higher (100–234 kJ/mol)</t>
        </is>
      </c>
    </row>
    <row r="32" ht="20" customHeight="1">
      <c r="A32" s="398" t="inlineStr">
        <is>
          <t>Q_p (upper, undamaged)</t>
        </is>
      </c>
      <c r="B32" s="398" t="inlineStr">
        <is>
          <t>Q_p_max</t>
        </is>
      </c>
      <c r="C32" s="397" t="n">
        <v>234000</v>
      </c>
      <c r="D32" s="398" t="inlineStr">
        <is>
          <t>J/mol</t>
        </is>
      </c>
      <c r="E32" s="398" t="inlineStr">
        <is>
          <t>N/A</t>
        </is>
      </c>
      <c r="F32" s="398" t="inlineStr">
        <is>
          <t>Low</t>
        </is>
      </c>
      <c r="G32" s="398" t="inlineStr">
        <is>
          <t>Stover 1986</t>
        </is>
      </c>
      <c r="H32" s="301" t="inlineStr">
        <is>
          <t>Best quality undamaged Cr₂O₃. Use for optimistic scenario.</t>
        </is>
      </c>
    </row>
    <row r="33" ht="20" customHeight="1">
      <c r="A33" s="396" t="inlineStr">
        <is>
          <t>Solubility coeff</t>
        </is>
      </c>
      <c r="B33" s="396" t="inlineStr">
        <is>
          <t>K_ox</t>
        </is>
      </c>
      <c r="C33" s="298" t="n">
        <v>5.597119503334957e-05</v>
      </c>
      <c r="D33" s="396" t="inlineStr">
        <is>
          <t>mol/m³/Pa⁰·⁵</t>
        </is>
      </c>
      <c r="E33" s="395" t="n">
        <v>900</v>
      </c>
      <c r="F33" s="396" t="inlineStr">
        <is>
          <t>Low</t>
        </is>
      </c>
      <c r="G33" s="396" t="inlineStr">
        <is>
          <t>Derived</t>
        </is>
      </c>
      <c r="H33" s="396" t="inlineStr">
        <is>
          <t>K_ox = Phi_ox / D_ox at 900 K</t>
        </is>
      </c>
    </row>
    <row r="34" ht="8" customHeight="1"/>
    <row r="35" ht="20" customHeight="1">
      <c r="A35" s="366" t="inlineStr">
        <is>
          <t>SENSITIVITY RANGES</t>
        </is>
      </c>
      <c r="B35" s="334" t="n"/>
      <c r="C35" s="334" t="n"/>
      <c r="D35" s="334" t="n"/>
      <c r="E35" s="334" t="n"/>
      <c r="F35" s="334" t="n"/>
      <c r="G35" s="334" t="n"/>
      <c r="H35" s="335" t="n"/>
    </row>
    <row r="36" ht="26" customHeight="1">
      <c r="A36" s="303" t="inlineStr">
        <is>
          <t>Parameter</t>
        </is>
      </c>
      <c r="B36" s="303" t="inlineStr">
        <is>
          <t>Symbol</t>
        </is>
      </c>
      <c r="C36" s="303" t="inlineStr">
        <is>
          <t>Pessimistic (low barrier)</t>
        </is>
      </c>
      <c r="D36" s="303" t="inlineStr">
        <is>
          <t>Nominal (default)</t>
        </is>
      </c>
      <c r="E36" s="303" t="inlineStr">
        <is>
          <t>Optimistic (high barrier)</t>
        </is>
      </c>
      <c r="F36" s="303" t="inlineStr">
        <is>
          <t>Span</t>
        </is>
      </c>
      <c r="G36" s="303" t="inlineStr">
        <is>
          <t>Basis</t>
        </is>
      </c>
      <c r="H36" s="303" t="inlineStr">
        <is>
          <t>Notes</t>
        </is>
      </c>
    </row>
    <row r="37" ht="18" customHeight="1">
      <c r="A37" s="368" t="inlineStr">
        <is>
          <t>Permeability Phi_ox @ 900K</t>
        </is>
      </c>
      <c r="B37" s="368" t="inlineStr">
        <is>
          <t>Phi_ox(900K)</t>
        </is>
      </c>
      <c r="C37" s="368" t="inlineStr">
        <is>
          <t>8.13e-18 (Q_p=70kJ)</t>
        </is>
      </c>
      <c r="D37" s="368" t="inlineStr">
        <is>
          <t>1.19e-16 (Q_p=130kJ)</t>
        </is>
      </c>
      <c r="E37" s="368" t="inlineStr">
        <is>
          <t>1.30e-14 (Q_p=234kJ)</t>
        </is>
      </c>
      <c r="F37" s="368" t="inlineStr">
        <is>
          <t>~2e+03×</t>
        </is>
      </c>
      <c r="G37" s="305" t="inlineStr">
        <is>
          <t>Q_p range 70–234 kJ/mol (Nemanic + Stover)</t>
        </is>
      </c>
      <c r="H37" s="305" t="inlineStr">
        <is>
          <t>Q_p dominates Phi uncertainty at 900K. 4 orders of magnitude span.</t>
        </is>
      </c>
    </row>
    <row r="38" ht="18" customHeight="1">
      <c r="A38" s="369" t="inlineStr">
        <is>
          <t>Q_p activation energy</t>
        </is>
      </c>
      <c r="B38" s="369" t="inlineStr">
        <is>
          <t>Q_p_ox</t>
        </is>
      </c>
      <c r="C38" s="369" t="inlineStr">
        <is>
          <t>70,434 J/mol (H_sol=0)</t>
        </is>
      </c>
      <c r="D38" s="369" t="inlineStr">
        <is>
          <t>130,000 J/mol (Stover geomean)</t>
        </is>
      </c>
      <c r="E38" s="369" t="inlineStr">
        <is>
          <t>234,000 J/mol (undamaged)</t>
        </is>
      </c>
      <c r="F38" s="369" t="inlineStr">
        <is>
          <t>3.3×</t>
        </is>
      </c>
      <c r="G38" s="307" t="inlineStr">
        <is>
          <t>Stover 1986 range — oxide damage state dependent</t>
        </is>
      </c>
      <c r="H38" s="307" t="inlineStr">
        <is>
          <t>Better oxide quality → higher Q_p → better barrier at high T</t>
        </is>
      </c>
    </row>
    <row r="39" ht="18" customHeight="1">
      <c r="A39" s="368" t="inlineStr">
        <is>
          <t>Diffusion E_D</t>
        </is>
      </c>
      <c r="B39" s="368" t="inlineStr">
        <is>
          <t>E_D_ox</t>
        </is>
      </c>
      <c r="C39" s="368" t="inlineStr">
        <is>
          <t>70,434 J/mol</t>
        </is>
      </c>
      <c r="D39" s="368" t="inlineStr">
        <is>
          <t>70,434 J/mol</t>
        </is>
      </c>
      <c r="E39" s="368" t="inlineStr">
        <is>
          <t>70,434 J/mol</t>
        </is>
      </c>
      <c r="F39" s="368" t="inlineStr">
        <is>
          <t>Fixed</t>
        </is>
      </c>
      <c r="G39" s="368" t="inlineStr">
        <is>
          <t>Chen 2011 DFT — no spread</t>
        </is>
      </c>
      <c r="H39" s="305" t="inlineStr">
        <is>
          <t>Treat as fixed. No experimental E_D for Cr₂O₃ in database.</t>
        </is>
      </c>
    </row>
    <row r="40" ht="18" customHeight="1">
      <c r="A40" s="369" t="inlineStr">
        <is>
          <t>Phi_ox at 673K (meas. T)</t>
        </is>
      </c>
      <c r="B40" s="369" t="inlineStr">
        <is>
          <t>Phi_ox(673K)</t>
        </is>
      </c>
      <c r="C40" s="369" t="inlineStr">
        <is>
          <t>7.0×10⁻²⁰ (Sample 3, best)</t>
        </is>
      </c>
      <c r="D40" s="369" t="inlineStr">
        <is>
          <t>2.6×10⁻¹⁹ (geomean)</t>
        </is>
      </c>
      <c r="E40" s="369" t="inlineStr">
        <is>
          <t>7.2×10⁻¹⁹ (Stover ref)</t>
        </is>
      </c>
      <c r="F40" s="369" t="inlineStr">
        <is>
          <t>10×</t>
        </is>
      </c>
      <c r="G40" s="369" t="inlineStr">
        <is>
          <t>Nemanic 2023 + Stover 1986</t>
        </is>
      </c>
      <c r="H40" s="307" t="inlineStr">
        <is>
          <t>At measurement T. Spread from different oxide thicknesses and quality.</t>
        </is>
      </c>
    </row>
    <row r="41" ht="18" customHeight="1">
      <c r="A41" s="368" t="inlineStr">
        <is>
          <t>PRF</t>
        </is>
      </c>
      <c r="B41" s="368" t="inlineStr">
        <is>
          <t>PRF</t>
        </is>
      </c>
      <c r="C41" s="368" t="inlineStr">
        <is>
          <t>10 (Hollenberg, in-reactor)</t>
        </is>
      </c>
      <c r="D41" s="368" t="inlineStr">
        <is>
          <t>~1000 (Stover, lab)</t>
        </is>
      </c>
      <c r="E41" s="368" t="inlineStr">
        <is>
          <t>3900 (Nemanic S3, 28nm)</t>
        </is>
      </c>
      <c r="F41" s="368" t="inlineStr">
        <is>
          <t>390×</t>
        </is>
      </c>
      <c r="G41" s="368" t="inlineStr">
        <is>
          <t>All Cr₂O₃ entries</t>
        </is>
      </c>
      <c r="H41" s="305" t="inlineStr">
        <is>
          <t>PRF is T-dependent. Use Phi_ox directly where possible.</t>
        </is>
      </c>
    </row>
    <row r="42" ht="8" customHeight="1"/>
    <row r="43" ht="36" customHeight="1">
      <c r="A43" s="285" t="inlineStr">
        <is>
          <t>CONFIDENCE: LOW to MEDIUM. E_D_ox is well-constrained (Chen DFT + consistent with Nemanic). Q_p_ox and H_sol_ox are the dominant unknowns. Tier 1 data (Nemanic 2023) provides Phi at 673K only — extrapolation to 900K requires Q_p assumption. Recommend sensitivity sweep over full Q_p range (70–234 kJ/mol) in model runs.</t>
        </is>
      </c>
      <c r="B43" s="334" t="n"/>
      <c r="C43" s="334" t="n"/>
      <c r="D43" s="334" t="n"/>
      <c r="E43" s="334" t="n"/>
      <c r="F43" s="334" t="n"/>
      <c r="G43" s="334" t="n"/>
      <c r="H43" s="335" t="n"/>
    </row>
  </sheetData>
  <mergeCells count="8">
    <mergeCell ref="A1:H1"/>
    <mergeCell ref="A3:H3"/>
    <mergeCell ref="A35:H35"/>
    <mergeCell ref="A25:H25"/>
    <mergeCell ref="A43:H43"/>
    <mergeCell ref="A2:H2"/>
    <mergeCell ref="A5:H5"/>
    <mergeCell ref="A17:H17"/>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32"/>
  <sheetViews>
    <sheetView showGridLines="0" workbookViewId="0">
      <selection activeCell="A1" sqref="A1"/>
    </sheetView>
  </sheetViews>
  <sheetFormatPr baseColWidth="8" defaultRowHeight="15"/>
  <cols>
    <col width="32" customWidth="1" min="1" max="1"/>
    <col width="10" customWidth="1" min="2" max="2"/>
    <col width="16" customWidth="1" min="3" max="3"/>
    <col width="14" customWidth="1" min="4" max="4"/>
    <col width="14" customWidth="1" min="5" max="5"/>
    <col width="14" customWidth="1" min="6" max="6"/>
    <col width="14" customWidth="1" min="7" max="7"/>
    <col width="38" customWidth="1" min="8" max="8"/>
  </cols>
  <sheetData>
    <row r="1" ht="26" customHeight="1">
      <c r="A1" s="388" t="inlineStr">
        <is>
          <t>Al₂O₃ Oxide Transport — Parameter Analysis &amp; Default Values</t>
        </is>
      </c>
      <c r="B1" s="332" t="n"/>
      <c r="C1" s="332" t="n"/>
      <c r="D1" s="332" t="n"/>
      <c r="E1" s="332" t="n"/>
      <c r="F1" s="332" t="n"/>
      <c r="G1" s="332" t="n"/>
      <c r="H1" s="333" t="n"/>
    </row>
    <row r="2" ht="22" customHeight="1">
      <c r="A2" s="284" t="inlineStr">
        <is>
          <t>Sources: Roberts 1979 + Belonoshko 2004 (Tier 1, sintered bulk, 1473–1723 K) | Levchuk 2004 (Tier 3, deposited film on Eurofer, 973–1073 K) | Hollenberg 1995 (Tier 3, Q_p = 318 kJ/mol only, no Phi).  T_ref = 900 K (primary). Measurement ranges ABOVE 900K — extrapolation required.</t>
        </is>
      </c>
      <c r="B2" s="334" t="n"/>
      <c r="C2" s="334" t="n"/>
      <c r="D2" s="334" t="n"/>
      <c r="E2" s="334" t="n"/>
      <c r="F2" s="334" t="n"/>
      <c r="G2" s="334" t="n"/>
      <c r="H2" s="335" t="n"/>
    </row>
    <row r="3" ht="36" customHeight="1">
      <c r="A3" s="319" t="inlineStr">
        <is>
          <t>⚠ CRITICAL LIMITATION: Roberts sintered Al₂O₃ (T = 1473–1723 K) and Levchuk deposited film (T = 973–1073 K) are physically DIFFERENT materials. Extrapolation to 900 K is outside both measurement ranges. Sintered and deposited films can differ by orders of magnitude. Use with extreme caution below 973 K.</t>
        </is>
      </c>
      <c r="B3" s="334" t="n"/>
      <c r="C3" s="334" t="n"/>
      <c r="D3" s="334" t="n"/>
      <c r="E3" s="334" t="n"/>
      <c r="F3" s="334" t="n"/>
      <c r="G3" s="334" t="n"/>
      <c r="H3" s="335" t="n"/>
    </row>
    <row r="4" ht="8" customHeight="1"/>
    <row r="5" ht="20" customHeight="1">
      <c r="A5" s="389" t="inlineStr">
        <is>
          <t>DATA INVENTORY</t>
        </is>
      </c>
      <c r="B5" s="334" t="n"/>
      <c r="C5" s="334" t="n"/>
      <c r="D5" s="334" t="n"/>
      <c r="E5" s="334" t="n"/>
      <c r="F5" s="334" t="n"/>
      <c r="G5" s="334" t="n"/>
      <c r="H5" s="335" t="n"/>
    </row>
    <row r="6" ht="28" customHeight="1">
      <c r="A6" s="28" t="inlineStr">
        <is>
          <t>Entry</t>
        </is>
      </c>
      <c r="B6" s="28" t="inlineStr">
        <is>
          <t>Tier</t>
        </is>
      </c>
      <c r="C6" s="28" t="inlineStr">
        <is>
          <t>Phi_ox at meas. T</t>
        </is>
      </c>
      <c r="D6" s="28" t="inlineStr">
        <is>
          <t>Meas. T (K)</t>
        </is>
      </c>
      <c r="E6" s="28" t="inlineStr">
        <is>
          <t>Q_p (J/mol)</t>
        </is>
      </c>
      <c r="F6" s="28" t="inlineStr">
        <is>
          <t>E_D_ox (J/mol)</t>
        </is>
      </c>
      <c r="G6" s="28" t="inlineStr">
        <is>
          <t>Phi_ox @ 900K (extrap.)</t>
        </is>
      </c>
      <c r="H6" s="28" t="inlineStr">
        <is>
          <t>Notes</t>
        </is>
      </c>
    </row>
    <row r="7" ht="22" customHeight="1">
      <c r="A7" s="339" t="inlineStr">
        <is>
          <t>Roberts 1979 + Belonoshko 2004</t>
        </is>
      </c>
      <c r="B7" s="339" t="inlineStr">
        <is>
          <t>1</t>
        </is>
      </c>
      <c r="C7" s="289" t="n">
        <v>1.504e-10</v>
      </c>
      <c r="D7" s="339" t="inlineStr">
        <is>
          <t>1623 (mid-range)</t>
        </is>
      </c>
      <c r="E7" s="288" t="n">
        <v>318200</v>
      </c>
      <c r="F7" s="288" t="n">
        <v>119641</v>
      </c>
      <c r="G7" s="289" t="n">
        <v>8.913615731911267e-19</v>
      </c>
      <c r="H7" s="320" t="inlineStr">
        <is>
          <t>Sintered bulk. T=1473–1723K. ⚠ Extrapolated 573K below measurement range.</t>
        </is>
      </c>
    </row>
    <row r="8" ht="22" customHeight="1">
      <c r="A8" s="401" t="inlineStr">
        <is>
          <t>Levchuk 2004 (deposited film)</t>
        </is>
      </c>
      <c r="B8" s="401" t="inlineStr">
        <is>
          <t>3</t>
        </is>
      </c>
      <c r="C8" s="291" t="n">
        <v>6.495e-16</v>
      </c>
      <c r="D8" s="380" t="n">
        <v>1073</v>
      </c>
      <c r="E8" s="380" t="n">
        <v>50000</v>
      </c>
      <c r="F8" s="401" t="inlineStr">
        <is>
          <t>—</t>
        </is>
      </c>
      <c r="G8" s="291" t="n">
        <v>2.211487102260645e-16</v>
      </c>
      <c r="H8" s="321" t="inlineStr">
        <is>
          <t>Deposited, 1µm. T=973–1073K. Q_p rough (3 pts). D₂→H₂ ×√2.</t>
        </is>
      </c>
    </row>
    <row r="9" ht="22" customHeight="1">
      <c r="A9" s="391" t="inlineStr">
        <is>
          <t>Hollenberg 1995</t>
        </is>
      </c>
      <c r="B9" s="391" t="inlineStr">
        <is>
          <t>3</t>
        </is>
      </c>
      <c r="C9" s="391" t="inlineStr">
        <is>
          <t>—</t>
        </is>
      </c>
      <c r="D9" s="391" t="inlineStr">
        <is>
          <t>573–973</t>
        </is>
      </c>
      <c r="E9" s="393" t="n">
        <v>318200</v>
      </c>
      <c r="F9" s="391" t="inlineStr">
        <is>
          <t>—</t>
        </is>
      </c>
      <c r="G9" s="391" t="inlineStr">
        <is>
          <t>—</t>
        </is>
      </c>
      <c r="H9" s="315" t="inlineStr">
        <is>
          <t>Q_p=318 kJ/mol confirmed (cites Roberts). No Phi₀ available.</t>
        </is>
      </c>
    </row>
    <row r="10" ht="8" customHeight="1"/>
    <row r="11" ht="20" customHeight="1">
      <c r="A11" s="389" t="inlineStr">
        <is>
          <t>TWO-SCENARIO COMPARISON AT 900 K</t>
        </is>
      </c>
      <c r="B11" s="334" t="n"/>
      <c r="C11" s="334" t="n"/>
      <c r="D11" s="334" t="n"/>
      <c r="E11" s="334" t="n"/>
      <c r="F11" s="334" t="n"/>
      <c r="G11" s="334" t="n"/>
      <c r="H11" s="335" t="n"/>
    </row>
    <row r="12" ht="36" customHeight="1">
      <c r="A12" s="322" t="inlineStr">
        <is>
          <t>These two scenarios cannot be reconciled — they differ by 3 orders of magnitude. Physical reason: sintered bulk Al₂O₃ has negligible grain boundary transport. Deposited thin films have high grain boundary density → much higher effective Phi. Choose scenario based on oxide microstructure expected on Hastelloy X/N.</t>
        </is>
      </c>
      <c r="B12" s="334" t="n"/>
      <c r="C12" s="334" t="n"/>
      <c r="D12" s="334" t="n"/>
      <c r="E12" s="334" t="n"/>
      <c r="F12" s="334" t="n"/>
      <c r="G12" s="334" t="n"/>
      <c r="H12" s="335" t="n"/>
    </row>
    <row r="13" ht="26" customHeight="1">
      <c r="A13" s="28" t="inlineStr">
        <is>
          <t>Scenario</t>
        </is>
      </c>
      <c r="B13" s="28" t="inlineStr">
        <is>
          <t>Q_p (J/mol)</t>
        </is>
      </c>
      <c r="C13" s="28" t="inlineStr">
        <is>
          <t>E_D (J/mol)</t>
        </is>
      </c>
      <c r="D13" s="28" t="inlineStr">
        <is>
          <t>Phi_ox @ 900K</t>
        </is>
      </c>
      <c r="E13" s="28" t="inlineStr">
        <is>
          <t>D_ox @ 900K</t>
        </is>
      </c>
      <c r="F13" s="28" t="inlineStr">
        <is>
          <t>Meas. range</t>
        </is>
      </c>
      <c r="G13" s="28" t="inlineStr">
        <is>
          <t>Confidence</t>
        </is>
      </c>
      <c r="H13" s="28" t="inlineStr">
        <is>
          <t>When to use</t>
        </is>
      </c>
    </row>
    <row r="14" ht="22" customHeight="1">
      <c r="A14" s="339" t="inlineStr">
        <is>
          <t>Roberts/Belonoshko (sintered)</t>
        </is>
      </c>
      <c r="B14" s="288" t="n">
        <v>318200</v>
      </c>
      <c r="C14" s="288" t="n">
        <v>119641</v>
      </c>
      <c r="D14" s="289" t="n">
        <v>8.913615731911267e-19</v>
      </c>
      <c r="E14" s="289" t="n">
        <v>2.471872620004332e-14</v>
      </c>
      <c r="F14" s="339" t="inlineStr">
        <is>
          <t>1473–1723 K</t>
        </is>
      </c>
      <c r="G14" s="339" t="inlineStr">
        <is>
          <t>Medium (but wrong regime for coatings)</t>
        </is>
      </c>
      <c r="H14" s="320" t="inlineStr">
        <is>
          <t>Dense sintered or thermally grown Al₂O₃; high T operation</t>
        </is>
      </c>
    </row>
    <row r="15" ht="22" customHeight="1">
      <c r="A15" s="374" t="inlineStr">
        <is>
          <t>Levchuk (deposited film)</t>
        </is>
      </c>
      <c r="B15" s="358" t="n">
        <v>50000</v>
      </c>
      <c r="C15" s="374" t="inlineStr">
        <is>
          <t>—</t>
        </is>
      </c>
      <c r="D15" s="325" t="n">
        <v>2.211487102260645e-16</v>
      </c>
      <c r="E15" s="374" t="inlineStr">
        <is>
          <t>—</t>
        </is>
      </c>
      <c r="F15" s="374" t="inlineStr">
        <is>
          <t>973–1073 K</t>
        </is>
      </c>
      <c r="G15" s="374" t="inlineStr">
        <is>
          <t>Low (Q_p rough, 3 pts only)</t>
        </is>
      </c>
      <c r="H15" s="326" t="inlineStr">
        <is>
          <t>CVD/PVD deposited Al₂O₃ coating on steel — closer to actual barrier</t>
        </is>
      </c>
    </row>
    <row r="16" ht="8" customHeight="1"/>
    <row r="17" ht="20" customHeight="1">
      <c r="A17" s="394" t="inlineStr">
        <is>
          <t>★ DEFAULT VALUES (recommended model inputs)</t>
        </is>
      </c>
      <c r="B17" s="334" t="n"/>
      <c r="C17" s="334" t="n"/>
      <c r="D17" s="334" t="n"/>
      <c r="E17" s="334" t="n"/>
      <c r="F17" s="334" t="n"/>
      <c r="G17" s="334" t="n"/>
      <c r="H17" s="335" t="n"/>
    </row>
    <row r="18" ht="24" customHeight="1">
      <c r="A18" s="36" t="inlineStr">
        <is>
          <t>Parameter</t>
        </is>
      </c>
      <c r="B18" s="36" t="inlineStr">
        <is>
          <t>Symbol</t>
        </is>
      </c>
      <c r="C18" s="36" t="inlineStr">
        <is>
          <t>Default Value</t>
        </is>
      </c>
      <c r="D18" s="36" t="inlineStr">
        <is>
          <t>Units</t>
        </is>
      </c>
      <c r="E18" s="36" t="inlineStr">
        <is>
          <t>T_ref (K)</t>
        </is>
      </c>
      <c r="F18" s="36" t="inlineStr">
        <is>
          <t>Confidence</t>
        </is>
      </c>
      <c r="G18" s="36" t="inlineStr">
        <is>
          <t>Source</t>
        </is>
      </c>
      <c r="H18" s="36" t="inlineStr">
        <is>
          <t>Notes</t>
        </is>
      </c>
    </row>
    <row r="19" ht="20" customHeight="1">
      <c r="A19" s="396" t="inlineStr">
        <is>
          <t>Permeability (sintered, primary)</t>
        </is>
      </c>
      <c r="B19" s="396" t="inlineStr">
        <is>
          <t>Phi_ox</t>
        </is>
      </c>
      <c r="C19" s="298" t="n">
        <v>8.913615731911267e-19</v>
      </c>
      <c r="D19" s="396" t="inlineStr">
        <is>
          <t>mol/m/s/Pa⁰·⁵</t>
        </is>
      </c>
      <c r="E19" s="395" t="n">
        <v>900</v>
      </c>
      <c r="F19" s="396" t="inlineStr">
        <is>
          <t>Medium*</t>
        </is>
      </c>
      <c r="G19" s="396" t="inlineStr">
        <is>
          <t>Roberts/Belonoshko</t>
        </is>
      </c>
      <c r="H19" s="300" t="inlineStr">
        <is>
          <t>⚠ Extrapolated 573K outside range. Dense sintered only.</t>
        </is>
      </c>
    </row>
    <row r="20" ht="20" customHeight="1">
      <c r="A20" s="398" t="inlineStr">
        <is>
          <t>Permeability (deposited, alt.)</t>
        </is>
      </c>
      <c r="B20" s="398" t="inlineStr">
        <is>
          <t>Phi_ox_alt</t>
        </is>
      </c>
      <c r="C20" s="294" t="n">
        <v>2.211487102260645e-16</v>
      </c>
      <c r="D20" s="398" t="inlineStr">
        <is>
          <t>mol/m/s/Pa⁰·⁵</t>
        </is>
      </c>
      <c r="E20" s="397" t="n">
        <v>900</v>
      </c>
      <c r="F20" s="398" t="inlineStr">
        <is>
          <t>Low</t>
        </is>
      </c>
      <c r="G20" s="398" t="inlineStr">
        <is>
          <t>Levchuk 2004</t>
        </is>
      </c>
      <c r="H20" s="301" t="inlineStr">
        <is>
          <t>Deposited film — physically more relevant but lower data quality</t>
        </is>
      </c>
    </row>
    <row r="21" ht="20" customHeight="1">
      <c r="A21" s="396" t="inlineStr">
        <is>
          <t>Q_p (sintered, Tier 1)</t>
        </is>
      </c>
      <c r="B21" s="396" t="inlineStr">
        <is>
          <t>Q_p_ox</t>
        </is>
      </c>
      <c r="C21" s="395" t="n">
        <v>318200</v>
      </c>
      <c r="D21" s="396" t="inlineStr">
        <is>
          <t>J/mol</t>
        </is>
      </c>
      <c r="E21" s="396" t="inlineStr">
        <is>
          <t>N/A</t>
        </is>
      </c>
      <c r="F21" s="396" t="inlineStr">
        <is>
          <t>Medium</t>
        </is>
      </c>
      <c r="G21" s="396" t="inlineStr">
        <is>
          <t>Roberts 1979 + Hollenberg</t>
        </is>
      </c>
      <c r="H21" s="396" t="inlineStr">
        <is>
          <t>Confirmed by two independent sources</t>
        </is>
      </c>
    </row>
    <row r="22" ht="20" customHeight="1">
      <c r="A22" s="398" t="inlineStr">
        <is>
          <t>Q_p (deposited, rough)</t>
        </is>
      </c>
      <c r="B22" s="398" t="inlineStr">
        <is>
          <t>Q_p_dep</t>
        </is>
      </c>
      <c r="C22" s="397" t="n">
        <v>50000</v>
      </c>
      <c r="D22" s="398" t="inlineStr">
        <is>
          <t>J/mol</t>
        </is>
      </c>
      <c r="E22" s="398" t="inlineStr">
        <is>
          <t>N/A</t>
        </is>
      </c>
      <c r="F22" s="398" t="inlineStr">
        <is>
          <t>Low</t>
        </is>
      </c>
      <c r="G22" s="398" t="inlineStr">
        <is>
          <t>Levchuk 2004</t>
        </is>
      </c>
      <c r="H22" s="301" t="inlineStr">
        <is>
          <t>Rough 3-point estimate. Wide uncertainty.</t>
        </is>
      </c>
    </row>
    <row r="23" ht="20" customHeight="1">
      <c r="A23" s="396" t="inlineStr">
        <is>
          <t>E_D_ox (sintered)</t>
        </is>
      </c>
      <c r="B23" s="396" t="inlineStr">
        <is>
          <t>E_D_ox</t>
        </is>
      </c>
      <c r="C23" s="395" t="n">
        <v>119641</v>
      </c>
      <c r="D23" s="396" t="inlineStr">
        <is>
          <t>J/mol</t>
        </is>
      </c>
      <c r="E23" s="396" t="inlineStr">
        <is>
          <t>N/A</t>
        </is>
      </c>
      <c r="F23" s="396" t="inlineStr">
        <is>
          <t>Medium</t>
        </is>
      </c>
      <c r="G23" s="396" t="inlineStr">
        <is>
          <t>Belonoshko 2004 DFT</t>
        </is>
      </c>
      <c r="H23" s="396" t="inlineStr">
        <is>
          <t>Only available for sintered phase</t>
        </is>
      </c>
    </row>
    <row r="24" ht="20" customHeight="1">
      <c r="A24" s="398" t="inlineStr">
        <is>
          <t>D_ox @ 900K (sintered)</t>
        </is>
      </c>
      <c r="B24" s="398" t="inlineStr">
        <is>
          <t>D_ox</t>
        </is>
      </c>
      <c r="C24" s="294" t="n">
        <v>2.471872620004332e-14</v>
      </c>
      <c r="D24" s="398" t="inlineStr">
        <is>
          <t>m²/s</t>
        </is>
      </c>
      <c r="E24" s="397" t="n">
        <v>900</v>
      </c>
      <c r="F24" s="398" t="inlineStr">
        <is>
          <t>Low*</t>
        </is>
      </c>
      <c r="G24" s="398" t="inlineStr">
        <is>
          <t>Roberts/Belonoshko</t>
        </is>
      </c>
      <c r="H24" s="398" t="inlineStr">
        <is>
          <t>Extrapolated from 1473–1723K range</t>
        </is>
      </c>
    </row>
    <row r="25" ht="8" customHeight="1"/>
    <row r="26" ht="20" customHeight="1">
      <c r="A26" s="366" t="inlineStr">
        <is>
          <t>SENSITIVITY RANGES</t>
        </is>
      </c>
      <c r="B26" s="334" t="n"/>
      <c r="C26" s="334" t="n"/>
      <c r="D26" s="334" t="n"/>
      <c r="E26" s="334" t="n"/>
      <c r="F26" s="334" t="n"/>
      <c r="G26" s="334" t="n"/>
      <c r="H26" s="335" t="n"/>
    </row>
    <row r="27" ht="26" customHeight="1">
      <c r="A27" s="303" t="inlineStr">
        <is>
          <t>Parameter</t>
        </is>
      </c>
      <c r="B27" s="303" t="inlineStr">
        <is>
          <t>Symbol</t>
        </is>
      </c>
      <c r="C27" s="303" t="inlineStr">
        <is>
          <t>Pessimistic (low barrier)</t>
        </is>
      </c>
      <c r="D27" s="303" t="inlineStr">
        <is>
          <t>Nominal (default)</t>
        </is>
      </c>
      <c r="E27" s="303" t="inlineStr">
        <is>
          <t>Optimistic (high barrier)</t>
        </is>
      </c>
      <c r="F27" s="303" t="inlineStr">
        <is>
          <t>Span</t>
        </is>
      </c>
      <c r="G27" s="303" t="inlineStr">
        <is>
          <t>Basis</t>
        </is>
      </c>
      <c r="H27" s="303" t="inlineStr">
        <is>
          <t>Notes</t>
        </is>
      </c>
    </row>
    <row r="28" ht="18" customHeight="1">
      <c r="A28" s="368" t="inlineStr">
        <is>
          <t>Phi_ox @ 900K</t>
        </is>
      </c>
      <c r="B28" s="368" t="inlineStr">
        <is>
          <t>Phi_ox(900K)</t>
        </is>
      </c>
      <c r="C28" s="368" t="inlineStr">
        <is>
          <t>8.91e-19 (Roberts, sintered)</t>
        </is>
      </c>
      <c r="D28" s="368" t="inlineStr">
        <is>
          <t>1.40e-17 (geomean)</t>
        </is>
      </c>
      <c r="E28" s="368" t="inlineStr">
        <is>
          <t>2.21e-16 (Levchuk, deposited)</t>
        </is>
      </c>
      <c r="F28" s="368" t="inlineStr">
        <is>
          <t>~2e+02×</t>
        </is>
      </c>
      <c r="G28" s="368" t="inlineStr">
        <is>
          <t>Roberts vs Levchuk at 900K</t>
        </is>
      </c>
      <c r="H28" s="305" t="inlineStr">
        <is>
          <t>3 orders of magnitude — microstructure dependent</t>
        </is>
      </c>
    </row>
    <row r="29" ht="18" customHeight="1">
      <c r="A29" s="369" t="inlineStr">
        <is>
          <t>Q_p activation energy</t>
        </is>
      </c>
      <c r="B29" s="369" t="inlineStr">
        <is>
          <t>Q_p_ox</t>
        </is>
      </c>
      <c r="C29" s="369" t="inlineStr">
        <is>
          <t>50,000 J/mol (deposited)</t>
        </is>
      </c>
      <c r="D29" s="369" t="inlineStr">
        <is>
          <t>183,600 J/mol (avg)</t>
        </is>
      </c>
      <c r="E29" s="369" t="inlineStr">
        <is>
          <t>318,200 J/mol (sintered)</t>
        </is>
      </c>
      <c r="F29" s="369" t="inlineStr">
        <is>
          <t>6.4×</t>
        </is>
      </c>
      <c r="G29" s="369" t="inlineStr">
        <is>
          <t>Two measurement sources</t>
        </is>
      </c>
      <c r="H29" s="369" t="inlineStr">
        <is>
          <t>Microstructure dominates Q_p value</t>
        </is>
      </c>
    </row>
    <row r="30" ht="18" customHeight="1">
      <c r="A30" s="368" t="inlineStr">
        <is>
          <t>E_D_ox</t>
        </is>
      </c>
      <c r="B30" s="368" t="inlineStr">
        <is>
          <t>E_D_ox</t>
        </is>
      </c>
      <c r="C30" s="368" t="inlineStr">
        <is>
          <t>—</t>
        </is>
      </c>
      <c r="D30" s="368" t="inlineStr">
        <is>
          <t>119,641 J/mol (sintered only)</t>
        </is>
      </c>
      <c r="E30" s="368" t="inlineStr">
        <is>
          <t>—</t>
        </is>
      </c>
      <c r="F30" s="368" t="inlineStr">
        <is>
          <t>Unknown range</t>
        </is>
      </c>
      <c r="G30" s="368" t="inlineStr">
        <is>
          <t>Only one DFT source (sintered)</t>
        </is>
      </c>
      <c r="H30" s="368" t="inlineStr">
        <is>
          <t>No deposited film E_D available</t>
        </is>
      </c>
    </row>
    <row r="31" ht="8" customHeight="1"/>
    <row r="32" ht="36" customHeight="1">
      <c r="A32" s="319" t="inlineStr">
        <is>
          <t>CONFIDENCE: LOW to MEDIUM (Roberts sintered) / LOW (Levchuk deposited). Al₂O₃ data is the weakest in the database for Hastelloy X/N applications. Both measurement ranges are above 900K — significant extrapolation required. Recommend using Levchuk deposited film scenario for Hastelloy X/N with CVD-type coating.</t>
        </is>
      </c>
      <c r="B32" s="334" t="n"/>
      <c r="C32" s="334" t="n"/>
      <c r="D32" s="334" t="n"/>
      <c r="E32" s="334" t="n"/>
      <c r="F32" s="334" t="n"/>
      <c r="G32" s="334" t="n"/>
      <c r="H32" s="335" t="n"/>
    </row>
  </sheetData>
  <mergeCells count="9">
    <mergeCell ref="A12:H12"/>
    <mergeCell ref="A1:H1"/>
    <mergeCell ref="A3:H3"/>
    <mergeCell ref="A26:H26"/>
    <mergeCell ref="A2:H2"/>
    <mergeCell ref="A11:H11"/>
    <mergeCell ref="A5:H5"/>
    <mergeCell ref="A32:H32"/>
    <mergeCell ref="A17:H17"/>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32"/>
  <sheetViews>
    <sheetView showGridLines="0" workbookViewId="0">
      <selection activeCell="A1" sqref="A1"/>
    </sheetView>
  </sheetViews>
  <sheetFormatPr baseColWidth="8" defaultRowHeight="15"/>
  <cols>
    <col width="32" customWidth="1" min="1" max="1"/>
    <col width="14" customWidth="1" min="2" max="2"/>
    <col width="16" customWidth="1" min="3" max="3"/>
    <col width="18" customWidth="1" min="4" max="4"/>
    <col width="14" customWidth="1" min="5" max="5"/>
    <col width="18" customWidth="1" min="6" max="6"/>
    <col width="14" customWidth="1" min="7" max="7"/>
    <col width="38" customWidth="1" min="8" max="8"/>
  </cols>
  <sheetData>
    <row r="1" ht="26" customHeight="1">
      <c r="A1" s="388" t="inlineStr">
        <is>
          <t>Oxide Surface Kinetics — Parameter Analysis &amp; Default Values</t>
        </is>
      </c>
      <c r="B1" s="332" t="n"/>
      <c r="C1" s="332" t="n"/>
      <c r="D1" s="332" t="n"/>
      <c r="E1" s="332" t="n"/>
      <c r="F1" s="332" t="n"/>
      <c r="G1" s="332" t="n"/>
      <c r="H1" s="333" t="n"/>
    </row>
    <row r="2" ht="22" customHeight="1">
      <c r="A2" s="284" t="inlineStr">
        <is>
          <t>Sources for k₁: Grant et al. 1988 only (3 surface conditions, 316 SS, H₂, 502–863 K).  Supplementary (NOT k₁): Swansiger &amp; Bastasz 1979 (composite Q_p_eff = 87 kJ/mol, PRF = 100–1000).  SINGLE k₁ SOURCE — bounds analysis only. T_ref = 900 K.</t>
        </is>
      </c>
      <c r="B2" s="334" t="n"/>
      <c r="C2" s="334" t="n"/>
      <c r="D2" s="334" t="n"/>
      <c r="E2" s="334" t="n"/>
      <c r="F2" s="334" t="n"/>
      <c r="G2" s="334" t="n"/>
      <c r="H2" s="335" t="n"/>
    </row>
    <row r="3" ht="36" customHeight="1">
      <c r="A3" s="319" t="inlineStr">
        <is>
          <t>⚠ FUNDAMENTAL GAP: No k₁ or k_R has been directly measured on a standalone Cr₂O₃ or Al₂O₃ film in any paper in this database. The Grant 1988 oxidized SS 316 surface (Cr/Fe/O mixed oxide, ~15nm) is used as the sole analog. It likely underestimates the barrier effect of a thick, continuous Cr₂O₃ or Al₂O₃ coating.</t>
        </is>
      </c>
      <c r="B3" s="334" t="n"/>
      <c r="C3" s="334" t="n"/>
      <c r="D3" s="334" t="n"/>
      <c r="E3" s="334" t="n"/>
      <c r="F3" s="334" t="n"/>
      <c r="G3" s="334" t="n"/>
      <c r="H3" s="335" t="n"/>
    </row>
    <row r="4" ht="8" customHeight="1"/>
    <row r="5" ht="20" customHeight="1">
      <c r="A5" s="389" t="inlineStr">
        <is>
          <t>DATA INVENTORY</t>
        </is>
      </c>
      <c r="B5" s="334" t="n"/>
      <c r="C5" s="334" t="n"/>
      <c r="D5" s="334" t="n"/>
      <c r="E5" s="334" t="n"/>
      <c r="F5" s="334" t="n"/>
      <c r="G5" s="334" t="n"/>
      <c r="H5" s="335" t="n"/>
    </row>
    <row r="6" ht="26" customHeight="1">
      <c r="A6" s="28" t="inlineStr">
        <is>
          <t>Entry</t>
        </is>
      </c>
      <c r="B6" s="28" t="inlineStr">
        <is>
          <t>Type</t>
        </is>
      </c>
      <c r="C6" s="28" t="inlineStr">
        <is>
          <t>k₁_ref or Q_p_eff</t>
        </is>
      </c>
      <c r="D6" s="28" t="inlineStr">
        <is>
          <t>E_k1 (J/mol)</t>
        </is>
      </c>
      <c r="E6" s="28" t="inlineStr">
        <is>
          <t>k₁₀</t>
        </is>
      </c>
      <c r="F6" s="28" t="inlineStr">
        <is>
          <t>k₁ @ 800K</t>
        </is>
      </c>
      <c r="G6" s="28" t="inlineStr">
        <is>
          <t>k₁ @ 900K</t>
        </is>
      </c>
      <c r="H6" s="28" t="inlineStr">
        <is>
          <t>Notes</t>
        </is>
      </c>
    </row>
    <row r="7" ht="22" customHeight="1">
      <c r="A7" s="339" t="inlineStr">
        <is>
          <t>Grant 1988 — IBC clean (upper bound)</t>
        </is>
      </c>
      <c r="B7" s="339" t="inlineStr">
        <is>
          <t>k₁ Arrhenius</t>
        </is>
      </c>
      <c r="C7" s="289" t="n">
        <v>1.365e-06</v>
      </c>
      <c r="D7" s="288" t="n">
        <v>80729</v>
      </c>
      <c r="E7" s="288" t="n">
        <v>0.032</v>
      </c>
      <c r="F7" s="289" t="n">
        <v>1.71355002039074e-07</v>
      </c>
      <c r="G7" s="289" t="n">
        <v>6.600724180186949e-07</v>
      </c>
      <c r="H7" s="320" t="inlineStr">
        <is>
          <t>Bare metal upper bound. Gas H₂. T 502-863K</t>
        </is>
      </c>
    </row>
    <row r="8" ht="22" customHeight="1">
      <c r="A8" s="401" t="inlineStr">
        <is>
          <t>Grant 1988 — Partial IBC</t>
        </is>
      </c>
      <c r="B8" s="401" t="inlineStr">
        <is>
          <t>k₁ Arrhenius</t>
        </is>
      </c>
      <c r="C8" s="291" t="n">
        <v>6.68e-08</v>
      </c>
      <c r="D8" s="380" t="n">
        <v>61357</v>
      </c>
      <c r="E8" s="291" t="n">
        <v>0.00014</v>
      </c>
      <c r="F8" s="291" t="n">
        <v>1.379692599287664e-08</v>
      </c>
      <c r="G8" s="291" t="n">
        <v>3.84531442436241e-08</v>
      </c>
      <c r="H8" s="401" t="inlineStr">
        <is>
          <t>Intermediate condition</t>
        </is>
      </c>
    </row>
    <row r="9" ht="22" customHeight="1">
      <c r="A9" s="398" t="inlineStr">
        <is>
          <t>★ Grant 1988 — Fully Oxidized</t>
        </is>
      </c>
      <c r="B9" s="398" t="inlineStr">
        <is>
          <t>k₁ Arrhenius</t>
        </is>
      </c>
      <c r="C9" s="294" t="n">
        <v>9.49e-08</v>
      </c>
      <c r="D9" s="397" t="n">
        <v>57949</v>
      </c>
      <c r="E9" s="294" t="n">
        <v>0.00013</v>
      </c>
      <c r="F9" s="294" t="n">
        <v>2.138578786483589e-08</v>
      </c>
      <c r="G9" s="294" t="n">
        <v>5.630532733694786e-08</v>
      </c>
      <c r="H9" s="301" t="inlineStr">
        <is>
          <t>★ DEFAULT. Cr/Fe/O oxide. Best Hastelloy analog.</t>
        </is>
      </c>
    </row>
    <row r="10" ht="22" customHeight="1">
      <c r="A10" s="391" t="inlineStr">
        <is>
          <t>Swansiger 1979 — 21-6-9 composite</t>
        </is>
      </c>
      <c r="B10" s="391" t="inlineStr">
        <is>
          <t>Q_p_eff (NOT k₁)</t>
        </is>
      </c>
      <c r="C10" s="391" t="inlineStr">
        <is>
          <t>87,000 J/mol</t>
        </is>
      </c>
      <c r="D10" s="391" t="inlineStr">
        <is>
          <t>NOT k₁</t>
        </is>
      </c>
      <c r="E10" s="391" t="inlineStr">
        <is>
          <t>NOT k₁</t>
        </is>
      </c>
      <c r="F10" s="391" t="inlineStr">
        <is>
          <t>NOT k₁</t>
        </is>
      </c>
      <c r="G10" s="391" t="inlineStr">
        <is>
          <t>NOT k₁</t>
        </is>
      </c>
      <c r="H10" s="315" t="inlineStr">
        <is>
          <t>Composite Q_p_eff from PRF Arrhenius. Surface-limited confirmed. k₁ not fitted.</t>
        </is>
      </c>
    </row>
    <row r="11" ht="22" customHeight="1">
      <c r="A11" s="327" t="inlineStr">
        <is>
          <t>Yamawaki 1989 — SS304 O-impurity</t>
        </is>
      </c>
      <c r="B11" s="327" t="inlineStr">
        <is>
          <t>k_R cm⁴/s (INCOMPATIBLE)</t>
        </is>
      </c>
      <c r="C11" s="327" t="inlineStr">
        <is>
          <t>7.1×10⁻¹⁷ to 10⁻¹⁸</t>
        </is>
      </c>
      <c r="D11" s="327" t="inlineStr">
        <is>
          <t>—</t>
        </is>
      </c>
      <c r="E11" s="327" t="inlineStr">
        <is>
          <t>—</t>
        </is>
      </c>
      <c r="F11" s="327" t="inlineStr">
        <is>
          <t>—</t>
        </is>
      </c>
      <c r="G11" s="327" t="inlineStr">
        <is>
          <t>—</t>
        </is>
      </c>
      <c r="H11" s="328" t="inlineStr">
        <is>
          <t>k_R in cm⁴/s — not convertible to k₁ with &lt; 5-order uncertainty</t>
        </is>
      </c>
    </row>
    <row r="12" ht="8" customHeight="1"/>
    <row r="13" ht="20" customHeight="1">
      <c r="A13" s="366" t="inlineStr">
        <is>
          <t>SUPPLEMENTARY — Swansiger 1979: Composite Q_p_eff (not k₁)</t>
        </is>
      </c>
      <c r="B13" s="334" t="n"/>
      <c r="C13" s="334" t="n"/>
      <c r="D13" s="334" t="n"/>
      <c r="E13" s="334" t="n"/>
      <c r="F13" s="334" t="n"/>
      <c r="G13" s="334" t="n"/>
      <c r="H13" s="335" t="n"/>
    </row>
    <row r="14" ht="36" customHeight="1">
      <c r="A14" s="329" t="inlineStr">
        <is>
          <t>Q_p_eff = 87 kJ/mol is the activation energy of the COMPOSITE permeability (oxide + surface kinetics together). It is NOT the activation energy of k₁ alone. It is consistent with Grant 1988 E_k1_oxidized = 57.9 kJ/mol (surface-limited contribution) plus some oxide transport contribution. Useful as a cross-check but cannot replace k₁.</t>
        </is>
      </c>
      <c r="B14" s="334" t="n"/>
      <c r="C14" s="334" t="n"/>
      <c r="D14" s="334" t="n"/>
      <c r="E14" s="334" t="n"/>
      <c r="F14" s="334" t="n"/>
      <c r="G14" s="334" t="n"/>
      <c r="H14" s="335" t="n"/>
    </row>
    <row r="15" ht="24" customHeight="1">
      <c r="A15" s="303" t="inlineStr">
        <is>
          <t>Alloy</t>
        </is>
      </c>
      <c r="B15" s="303" t="inlineStr">
        <is>
          <t>Oxide type</t>
        </is>
      </c>
      <c r="C15" s="303" t="inlineStr">
        <is>
          <t>Oxide thickness</t>
        </is>
      </c>
      <c r="D15" s="303" t="inlineStr">
        <is>
          <t>Q_p_eff (J/mol)</t>
        </is>
      </c>
      <c r="E15" s="303" t="inlineStr">
        <is>
          <t>PRF range</t>
        </is>
      </c>
      <c r="F15" s="303" t="inlineStr">
        <is>
          <t>T range (K)</t>
        </is>
      </c>
      <c r="G15" s="303" t="inlineStr">
        <is>
          <t>Pressure exponent n</t>
        </is>
      </c>
      <c r="H15" s="303" t="inlineStr">
        <is>
          <t>Notes</t>
        </is>
      </c>
    </row>
    <row r="16" ht="20" customHeight="1">
      <c r="A16" s="368" t="inlineStr">
        <is>
          <t>SS 21-6-9</t>
        </is>
      </c>
      <c r="B16" s="368" t="inlineStr">
        <is>
          <t>Cr/Fe/O mixed (~15nm)</t>
        </is>
      </c>
      <c r="C16" s="368" t="inlineStr">
        <is>
          <t>~15nm</t>
        </is>
      </c>
      <c r="D16" s="330" t="n">
        <v>87000</v>
      </c>
      <c r="E16" s="368" t="inlineStr">
        <is>
          <t>100-1000</t>
        </is>
      </c>
      <c r="F16" s="368" t="inlineStr">
        <is>
          <t>325-700</t>
        </is>
      </c>
      <c r="G16" s="368" t="inlineStr">
        <is>
          <t>0.5→1 (transition)</t>
        </is>
      </c>
      <c r="H16" s="305" t="inlineStr">
        <is>
          <t>Upstream surface rate-controlling (Pd-over-oxide test)</t>
        </is>
      </c>
    </row>
    <row r="17" ht="20" customHeight="1">
      <c r="A17" s="369" t="inlineStr">
        <is>
          <t>SS A-286</t>
        </is>
      </c>
      <c r="B17" s="369" t="inlineStr">
        <is>
          <t>Cr/Fe/Ti (~4nm, Ti-rich)</t>
        </is>
      </c>
      <c r="C17" s="369" t="inlineStr">
        <is>
          <t>~4nm</t>
        </is>
      </c>
      <c r="D17" s="331" t="n">
        <v>87000</v>
      </c>
      <c r="E17" s="369" t="inlineStr">
        <is>
          <t>100-1000</t>
        </is>
      </c>
      <c r="F17" s="369" t="inlineStr">
        <is>
          <t>325-700</t>
        </is>
      </c>
      <c r="G17" s="369" t="inlineStr">
        <is>
          <t>~1 (surface-limited)</t>
        </is>
      </c>
      <c r="H17" s="307" t="inlineStr">
        <is>
          <t>Same PRF despite thinner oxide — thickness NOT controlling</t>
        </is>
      </c>
    </row>
    <row r="18" ht="8" customHeight="1"/>
    <row r="19" ht="20" customHeight="1">
      <c r="A19" s="394" t="inlineStr">
        <is>
          <t>★ DEFAULT VALUES (recommended model inputs)</t>
        </is>
      </c>
      <c r="B19" s="334" t="n"/>
      <c r="C19" s="334" t="n"/>
      <c r="D19" s="334" t="n"/>
      <c r="E19" s="334" t="n"/>
      <c r="F19" s="334" t="n"/>
      <c r="G19" s="334" t="n"/>
      <c r="H19" s="335" t="n"/>
    </row>
    <row r="20" ht="24" customHeight="1">
      <c r="A20" s="36" t="inlineStr">
        <is>
          <t>Parameter</t>
        </is>
      </c>
      <c r="B20" s="36" t="inlineStr">
        <is>
          <t>Symbol</t>
        </is>
      </c>
      <c r="C20" s="36" t="inlineStr">
        <is>
          <t>Default Value</t>
        </is>
      </c>
      <c r="D20" s="36" t="inlineStr">
        <is>
          <t>Units</t>
        </is>
      </c>
      <c r="E20" s="36" t="inlineStr">
        <is>
          <t>T_ref (K)</t>
        </is>
      </c>
      <c r="F20" s="36" t="inlineStr">
        <is>
          <t>Confidence</t>
        </is>
      </c>
      <c r="G20" s="36" t="inlineStr">
        <is>
          <t>Source</t>
        </is>
      </c>
      <c r="H20" s="36" t="inlineStr">
        <is>
          <t>Notes</t>
        </is>
      </c>
    </row>
    <row r="21" ht="20" customHeight="1">
      <c r="A21" s="396" t="inlineStr">
        <is>
          <t>k₁ (oxidized SS 316 analog)</t>
        </is>
      </c>
      <c r="B21" s="396" t="inlineStr">
        <is>
          <t>k₁</t>
        </is>
      </c>
      <c r="C21" s="298" t="n">
        <v>5.631e-08</v>
      </c>
      <c r="D21" s="396" t="inlineStr">
        <is>
          <t>mol/m²/s/Pa</t>
        </is>
      </c>
      <c r="E21" s="395" t="n">
        <v>900</v>
      </c>
      <c r="F21" s="396" t="inlineStr">
        <is>
          <t>Low (single source)</t>
        </is>
      </c>
      <c r="G21" s="396" t="inlineStr">
        <is>
          <t>Grant 1988 Eq.16</t>
        </is>
      </c>
      <c r="H21" s="300" t="inlineStr">
        <is>
          <t>★ RECOMMENDED. Oxidized SS 316 (Cr/Fe/O). Lower-bound estimate for Cr₂O₃ surface.</t>
        </is>
      </c>
    </row>
    <row r="22" ht="20" customHeight="1">
      <c r="A22" s="398" t="inlineStr">
        <is>
          <t>Pre-exponential k₁₀</t>
        </is>
      </c>
      <c r="B22" s="398" t="inlineStr">
        <is>
          <t>k₁₀</t>
        </is>
      </c>
      <c r="C22" s="294" t="n">
        <v>0.00013</v>
      </c>
      <c r="D22" s="398" t="inlineStr">
        <is>
          <t>mol/m²/s/Pa</t>
        </is>
      </c>
      <c r="E22" s="398" t="inlineStr">
        <is>
          <t>N/A</t>
        </is>
      </c>
      <c r="F22" s="398" t="inlineStr">
        <is>
          <t>Low</t>
        </is>
      </c>
      <c r="G22" s="398" t="inlineStr">
        <is>
          <t>Grant 1988</t>
        </is>
      </c>
      <c r="H22" s="398" t="inlineStr">
        <is>
          <t>Arrhenius pre-factor</t>
        </is>
      </c>
    </row>
    <row r="23" ht="20" customHeight="1">
      <c r="A23" s="396" t="inlineStr">
        <is>
          <t>Activation energy E_k1</t>
        </is>
      </c>
      <c r="B23" s="396" t="inlineStr">
        <is>
          <t>E_k1</t>
        </is>
      </c>
      <c r="C23" s="395" t="n">
        <v>57949</v>
      </c>
      <c r="D23" s="396" t="inlineStr">
        <is>
          <t>J/mol</t>
        </is>
      </c>
      <c r="E23" s="396" t="inlineStr">
        <is>
          <t>N/A</t>
        </is>
      </c>
      <c r="F23" s="396" t="inlineStr">
        <is>
          <t>Low</t>
        </is>
      </c>
      <c r="G23" s="396" t="inlineStr">
        <is>
          <t>Grant 1988</t>
        </is>
      </c>
      <c r="H23" s="396" t="inlineStr">
        <is>
          <t>6.97×10³ K × R</t>
        </is>
      </c>
    </row>
    <row r="24" ht="20" customHeight="1">
      <c r="A24" s="398" t="inlineStr">
        <is>
          <t>Q_p_eff (composite, not k₁)</t>
        </is>
      </c>
      <c r="B24" s="398" t="inlineStr">
        <is>
          <t>Q_p_eff</t>
        </is>
      </c>
      <c r="C24" s="397" t="n">
        <v>87000</v>
      </c>
      <c r="D24" s="398" t="inlineStr">
        <is>
          <t>J/mol</t>
        </is>
      </c>
      <c r="E24" s="398" t="inlineStr">
        <is>
          <t>N/A</t>
        </is>
      </c>
      <c r="F24" s="398" t="inlineStr">
        <is>
          <t>Low — different quantity</t>
        </is>
      </c>
      <c r="G24" s="398" t="inlineStr">
        <is>
          <t>Swansiger 1979</t>
        </is>
      </c>
      <c r="H24" s="301" t="inlineStr">
        <is>
          <t>Cross-check only. Composite Q_p from PRF Arrhenius — not usable as k₁ Ea.</t>
        </is>
      </c>
    </row>
    <row r="25" ht="8" customHeight="1"/>
    <row r="26" ht="20" customHeight="1">
      <c r="A26" s="366" t="inlineStr">
        <is>
          <t>SENSITIVITY RANGES</t>
        </is>
      </c>
      <c r="B26" s="334" t="n"/>
      <c r="C26" s="334" t="n"/>
      <c r="D26" s="334" t="n"/>
      <c r="E26" s="334" t="n"/>
      <c r="F26" s="334" t="n"/>
      <c r="G26" s="334" t="n"/>
      <c r="H26" s="335" t="n"/>
    </row>
    <row r="27" ht="26" customHeight="1">
      <c r="A27" s="303" t="inlineStr">
        <is>
          <t>Parameter</t>
        </is>
      </c>
      <c r="B27" s="303" t="inlineStr">
        <is>
          <t>Symbol</t>
        </is>
      </c>
      <c r="C27" s="303" t="inlineStr">
        <is>
          <t>Pessimistic (low barrier)</t>
        </is>
      </c>
      <c r="D27" s="303" t="inlineStr">
        <is>
          <t>Nominal (default)</t>
        </is>
      </c>
      <c r="E27" s="303" t="inlineStr">
        <is>
          <t>Optimistic (high barrier)</t>
        </is>
      </c>
      <c r="F27" s="303" t="inlineStr">
        <is>
          <t>Span</t>
        </is>
      </c>
      <c r="G27" s="303" t="inlineStr">
        <is>
          <t>Basis</t>
        </is>
      </c>
      <c r="H27" s="303" t="inlineStr">
        <is>
          <t>Notes</t>
        </is>
      </c>
    </row>
    <row r="28" ht="18" customHeight="1">
      <c r="A28" s="368" t="inlineStr">
        <is>
          <t>k₁ at 900K</t>
        </is>
      </c>
      <c r="B28" s="368" t="inlineStr">
        <is>
          <t>k₁(900K)</t>
        </is>
      </c>
      <c r="C28" s="368" t="inlineStr">
        <is>
          <t>5.63×10⁻⁸ (oxidized — nominal)</t>
        </is>
      </c>
      <c r="D28" s="368" t="inlineStr">
        <is>
          <t>5.63×10⁻⁸</t>
        </is>
      </c>
      <c r="E28" s="368" t="inlineStr">
        <is>
          <t>6.60×10⁻⁷ (IBC clean — absolute upper)</t>
        </is>
      </c>
      <c r="F28" s="368" t="inlineStr">
        <is>
          <t>~12×</t>
        </is>
      </c>
      <c r="G28" s="368" t="inlineStr">
        <is>
          <t>Grant 1988 surface condition span</t>
        </is>
      </c>
      <c r="H28" s="305" t="inlineStr">
        <is>
          <t>Pessimistic = oxidized (lowest k₁, most representative). Optimistic = clean metal (never achieved in service).</t>
        </is>
      </c>
    </row>
    <row r="29" ht="18" customHeight="1">
      <c r="A29" s="369" t="inlineStr">
        <is>
          <t>E_k1</t>
        </is>
      </c>
      <c r="B29" s="369" t="inlineStr">
        <is>
          <t>E_k1</t>
        </is>
      </c>
      <c r="C29" s="369" t="inlineStr">
        <is>
          <t>57,949 J/mol (oxidized)</t>
        </is>
      </c>
      <c r="D29" s="369" t="inlineStr">
        <is>
          <t>57,949 J/mol</t>
        </is>
      </c>
      <c r="E29" s="369" t="inlineStr">
        <is>
          <t>80,729 J/mol (clean)</t>
        </is>
      </c>
      <c r="F29" s="369" t="inlineStr">
        <is>
          <t>~40%</t>
        </is>
      </c>
      <c r="G29" s="369" t="inlineStr">
        <is>
          <t>Grant 1988</t>
        </is>
      </c>
      <c r="H29" s="307" t="inlineStr">
        <is>
          <t>Oxidized has lowest E_k1 — weakest T-dependence</t>
        </is>
      </c>
    </row>
    <row r="30" ht="18" customHeight="1">
      <c r="A30" s="368" t="inlineStr">
        <is>
          <t>k₁ vs real oxide (unknown)</t>
        </is>
      </c>
      <c r="B30" s="368" t="inlineStr">
        <is>
          <t>k₁_real</t>
        </is>
      </c>
      <c r="C30" s="368" t="inlineStr">
        <is>
          <t>Could be &lt;&lt; 9.5×10⁻⁸</t>
        </is>
      </c>
      <c r="D30" s="368" t="inlineStr">
        <is>
          <t>Unknown</t>
        </is>
      </c>
      <c r="E30" s="368" t="inlineStr">
        <is>
          <t>9.5×10⁻⁸ (Grant oxidized)</t>
        </is>
      </c>
      <c r="F30" s="305" t="inlineStr">
        <is>
          <t>Unknown — potentially orders of magnitude</t>
        </is>
      </c>
      <c r="G30" s="368" t="inlineStr">
        <is>
          <t>No Cr₂O₃/Al₂O₃ k₁ data exists</t>
        </is>
      </c>
      <c r="H30" s="305" t="inlineStr">
        <is>
          <t>⚠ Grant oxidized SS 316 may OVERESTIMATE k₁ for thick Cr₂O₃ or Al₂O₃ coatings. Real oxide films could suppress dissociation far more than thin surface oxides.</t>
        </is>
      </c>
    </row>
    <row r="31" ht="8" customHeight="1"/>
    <row r="32" ht="36" customHeight="1">
      <c r="A32" s="319" t="inlineStr">
        <is>
          <t>CONFIDENCE: VERY LOW — single paper, proxy material (SS 316, not Ni-alloy), proxy oxide (thin mixed Cr/Fe/O, not thick Cr₂O₃ or Al₂O₃). This is the most uncertain parameter in the L6 model. Recommend running model sensitivity across 3–4 orders of magnitude in k₁ to assess whether the model output is k₁-controlled or Phi_ox-controlled at 900K.</t>
        </is>
      </c>
      <c r="B32" s="334" t="n"/>
      <c r="C32" s="334" t="n"/>
      <c r="D32" s="334" t="n"/>
      <c r="E32" s="334" t="n"/>
      <c r="F32" s="334" t="n"/>
      <c r="G32" s="334" t="n"/>
      <c r="H32" s="335" t="n"/>
    </row>
  </sheetData>
  <mergeCells count="9">
    <mergeCell ref="A1:H1"/>
    <mergeCell ref="A3:H3"/>
    <mergeCell ref="A26:H26"/>
    <mergeCell ref="A2:H2"/>
    <mergeCell ref="A13:H13"/>
    <mergeCell ref="A14:H14"/>
    <mergeCell ref="A19:H19"/>
    <mergeCell ref="A5:H5"/>
    <mergeCell ref="A32:H3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73"/>
  <sheetViews>
    <sheetView showGridLines="0" workbookViewId="0">
      <selection activeCell="A1" sqref="A1"/>
    </sheetView>
  </sheetViews>
  <sheetFormatPr baseColWidth="8" defaultRowHeight="15"/>
  <cols>
    <col width="28" customWidth="1" min="1" max="1"/>
    <col width="18" customWidth="1" min="2" max="2"/>
    <col width="16" customWidth="1" min="3" max="3"/>
    <col width="14" customWidth="1" min="4" max="4"/>
    <col width="14" customWidth="1" min="5" max="5"/>
    <col width="14" customWidth="1" min="6" max="6"/>
    <col width="14" customWidth="1" min="7" max="7"/>
    <col width="32" customWidth="1" min="8" max="8"/>
  </cols>
  <sheetData>
    <row r="1" ht="26" customHeight="1">
      <c r="A1" s="388" t="inlineStr">
        <is>
          <t>Young &amp; Scully 1997 — Raw Data Extraction</t>
        </is>
      </c>
      <c r="B1" s="332" t="n"/>
      <c r="C1" s="332" t="n"/>
      <c r="D1" s="332" t="n"/>
      <c r="E1" s="332" t="n"/>
      <c r="F1" s="332" t="n"/>
      <c r="G1" s="332" t="n"/>
      <c r="H1" s="333" t="n"/>
    </row>
    <row r="2" ht="28" customHeight="1">
      <c r="A2" s="284" t="inlineStr">
        <is>
          <t>Young GA, Scully JR. "Evidence that Carbide Precipitation Produces Hydrogen Traps in Ni-17Cr-8Fe Alloys." Scripta Materialia, Vol. 36, No. 6, pp. 713–719, 1997.  DOI: 10.1016/S1359-6462(96)00440-X  |  Technique: Thermal Desorption Spectroscopy (TDS).  Material: Alloy 600 (A600) wrought and E-182 weld metal.  Charging: Electrochemical (galvanostatic) at 25°C in 0.2 M H₂SO₄ + Na₄P₂O₇.</t>
        </is>
      </c>
      <c r="B2" s="334" t="n"/>
      <c r="C2" s="334" t="n"/>
      <c r="D2" s="334" t="n"/>
      <c r="E2" s="334" t="n"/>
      <c r="F2" s="334" t="n"/>
      <c r="G2" s="334" t="n"/>
      <c r="H2" s="335" t="n"/>
    </row>
    <row r="3" ht="28" customHeight="1">
      <c r="A3" s="337" t="inlineStr">
        <is>
          <t>★ KEY DATA FOR MODEL: Carbide trap binding energies directly measured by TDS.  M₇C₃ (mill annealing): ~55 kJ/mol = 0.570 eV.  M₂₃C₆ (sensitization): 19–28 kJ/mol = 0.197–0.290 eV.  These replace the placeholder 0 eV in the trapping dictionary for Carbides.</t>
        </is>
      </c>
      <c r="B3" s="334" t="n"/>
      <c r="C3" s="334" t="n"/>
      <c r="D3" s="334" t="n"/>
      <c r="E3" s="334" t="n"/>
      <c r="F3" s="334" t="n"/>
      <c r="G3" s="334" t="n"/>
      <c r="H3" s="335" t="n"/>
    </row>
    <row r="4" ht="8" customHeight="1"/>
    <row r="5" ht="20" customHeight="1">
      <c r="A5" s="389" t="inlineStr">
        <is>
          <t>TABLE 1 — Nominal Compositions (wt%) of Alloys Investigated</t>
        </is>
      </c>
      <c r="B5" s="334" t="n"/>
      <c r="C5" s="334" t="n"/>
      <c r="D5" s="334" t="n"/>
      <c r="E5" s="334" t="n"/>
      <c r="F5" s="334" t="n"/>
      <c r="G5" s="334" t="n"/>
      <c r="H5" s="335" t="n"/>
    </row>
    <row r="6" ht="24" customHeight="1">
      <c r="A6" s="28" t="inlineStr">
        <is>
          <t>Material</t>
        </is>
      </c>
      <c r="B6" s="28" t="inlineStr">
        <is>
          <t>Ni</t>
        </is>
      </c>
      <c r="C6" s="28" t="inlineStr">
        <is>
          <t>Cr (wt%)</t>
        </is>
      </c>
      <c r="D6" s="28" t="inlineStr">
        <is>
          <t>Fe (wt%)</t>
        </is>
      </c>
      <c r="E6" s="28" t="inlineStr">
        <is>
          <t>C max</t>
        </is>
      </c>
      <c r="F6" s="28" t="inlineStr">
        <is>
          <t>Mn</t>
        </is>
      </c>
      <c r="G6" s="28" t="inlineStr">
        <is>
          <t>Other notable</t>
        </is>
      </c>
      <c r="H6" s="28" t="inlineStr">
        <is>
          <t>Notes</t>
        </is>
      </c>
    </row>
    <row r="7" ht="20" customHeight="1">
      <c r="A7" s="339" t="inlineStr">
        <is>
          <t>A600 (Alloy 600)</t>
        </is>
      </c>
      <c r="B7" s="339" t="inlineStr">
        <is>
          <t>72.0 min</t>
        </is>
      </c>
      <c r="C7" s="339" t="inlineStr">
        <is>
          <t>14.0–17.0</t>
        </is>
      </c>
      <c r="D7" s="339" t="inlineStr">
        <is>
          <t>6.00–10.0</t>
        </is>
      </c>
      <c r="E7" s="339" t="inlineStr">
        <is>
          <t>0.15 max</t>
        </is>
      </c>
      <c r="F7" s="339" t="inlineStr">
        <is>
          <t>1.00 max</t>
        </is>
      </c>
      <c r="G7" s="339" t="inlineStr">
        <is>
          <t>S 0.015, Si 0.50, Cu 0.50 max</t>
        </is>
      </c>
      <c r="H7" s="320" t="inlineStr">
        <is>
          <t>Wrought austenitic Ni-Cr-Fe. No Ti/Nb. Ni-17Cr-8Fe class.</t>
        </is>
      </c>
    </row>
    <row r="8" ht="20" customHeight="1">
      <c r="A8" s="401" t="inlineStr">
        <is>
          <t>E-182 (Weld electrode)</t>
        </is>
      </c>
      <c r="B8" s="401" t="inlineStr">
        <is>
          <t>59.0 min</t>
        </is>
      </c>
      <c r="C8" s="401" t="inlineStr">
        <is>
          <t>13.0–17.0</t>
        </is>
      </c>
      <c r="D8" s="401" t="inlineStr">
        <is>
          <t>10.0 max</t>
        </is>
      </c>
      <c r="E8" s="401" t="inlineStr">
        <is>
          <t>0.10 max</t>
        </is>
      </c>
      <c r="F8" s="401" t="inlineStr">
        <is>
          <t>5.0–9.5</t>
        </is>
      </c>
      <c r="G8" s="401" t="inlineStr">
        <is>
          <t>Ti 1.0 max; Nb 1.0–2.5; P 0.03 max</t>
        </is>
      </c>
      <c r="H8" s="321" t="inlineStr">
        <is>
          <t>Ni-Cr-Fe weld metal. Higher Mn and Nb vs wrought A600.</t>
        </is>
      </c>
    </row>
    <row r="9" ht="8" customHeight="1"/>
    <row r="10" ht="20" customHeight="1">
      <c r="A10" s="389" t="inlineStr">
        <is>
          <t>EXPERIMENTAL CONDITIONS</t>
        </is>
      </c>
      <c r="B10" s="334" t="n"/>
      <c r="C10" s="334" t="n"/>
      <c r="D10" s="334" t="n"/>
      <c r="E10" s="334" t="n"/>
      <c r="F10" s="334" t="n"/>
      <c r="G10" s="334" t="n"/>
      <c r="H10" s="335" t="n"/>
    </row>
    <row r="11" ht="24" customHeight="1">
      <c r="A11" s="28" t="inlineStr">
        <is>
          <t>Parameter</t>
        </is>
      </c>
      <c r="B11" s="28" t="inlineStr">
        <is>
          <t>Value</t>
        </is>
      </c>
      <c r="C11" s="28" t="inlineStr">
        <is>
          <t>Notes</t>
        </is>
      </c>
    </row>
    <row r="12" ht="18" customHeight="1">
      <c r="A12" s="391" t="inlineStr">
        <is>
          <t>Technique</t>
        </is>
      </c>
      <c r="B12" s="391" t="inlineStr">
        <is>
          <t>Thermal Desorption Spectroscopy (TDS)</t>
        </is>
      </c>
      <c r="C12" s="391" t="inlineStr">
        <is>
          <t>UHV quadrupole mass spectrometer</t>
        </is>
      </c>
    </row>
    <row r="13" ht="18" customHeight="1">
      <c r="A13" s="392" t="inlineStr">
        <is>
          <t>Charging method</t>
        </is>
      </c>
      <c r="B13" s="392" t="inlineStr">
        <is>
          <t>Electrochemical galvanostatic</t>
        </is>
      </c>
      <c r="C13" s="392" t="inlineStr">
        <is>
          <t>50 A/m² constant current</t>
        </is>
      </c>
    </row>
    <row r="14" ht="18" customHeight="1">
      <c r="A14" s="391" t="inlineStr">
        <is>
          <t>Charging solution</t>
        </is>
      </c>
      <c r="B14" s="391" t="inlineStr">
        <is>
          <t>0.2 M H₂SO₄ + Na₄P₂O₇</t>
        </is>
      </c>
      <c r="C14" s="391" t="inlineStr">
        <is>
          <t>Aqueous, room temperature</t>
        </is>
      </c>
    </row>
    <row r="15" ht="18" customHeight="1">
      <c r="A15" s="392" t="inlineStr">
        <is>
          <t>Charging duration</t>
        </is>
      </c>
      <c r="B15" s="392" t="inlineStr">
        <is>
          <t>3 days at 25°C</t>
        </is>
      </c>
      <c r="C15" s="314" t="inlineStr">
        <is>
          <t>Sufficient for appreciable H ingress — see note</t>
        </is>
      </c>
    </row>
    <row r="16" ht="18" customHeight="1">
      <c r="A16" s="391" t="inlineStr">
        <is>
          <t>Charging note</t>
        </is>
      </c>
      <c r="B16" s="391" t="inlineStr">
        <is>
          <t>D(A600, room T) ≈ 3.1×10⁻¹¹ cm²/s</t>
        </is>
      </c>
      <c r="C16" s="315" t="inlineStr">
        <is>
          <t>Extrapolated from Rota et al. [24]; confirms 3-day charging adequate</t>
        </is>
      </c>
    </row>
    <row r="17" ht="18" customHeight="1">
      <c r="A17" s="392" t="inlineStr">
        <is>
          <t>Specimen size</t>
        </is>
      </c>
      <c r="B17" s="392" t="inlineStr">
        <is>
          <t>~1 cm × 1 cm × 0.1 cm thick</t>
        </is>
      </c>
      <c r="C17" s="392" t="inlineStr">
        <is>
          <t>Mass ~1 g (used for ppm normalization)</t>
        </is>
      </c>
    </row>
    <row r="18" ht="18" customHeight="1">
      <c r="A18" s="391" t="inlineStr">
        <is>
          <t>TDS ramp rate</t>
        </is>
      </c>
      <c r="B18" s="391" t="inlineStr">
        <is>
          <t>5°C/min</t>
        </is>
      </c>
      <c r="C18" s="315" t="inlineStr">
        <is>
          <t>Applied to all specimens — same ramp, enables cross-comparison via Eq.2</t>
        </is>
      </c>
    </row>
    <row r="19" ht="18" customHeight="1">
      <c r="A19" s="392" t="inlineStr">
        <is>
          <t>Background pressure</t>
        </is>
      </c>
      <c r="B19" s="392" t="inlineStr">
        <is>
          <t>&lt;7×10⁻⁷ Pa</t>
        </is>
      </c>
      <c r="C19" s="392" t="inlineStr">
        <is>
          <t>UHV conditions</t>
        </is>
      </c>
    </row>
    <row r="20" ht="18" customHeight="1">
      <c r="A20" s="391" t="inlineStr">
        <is>
          <t>Peak fitting</t>
        </is>
      </c>
      <c r="B20" s="391" t="inlineStr">
        <is>
          <t>Asymmetric double sigmoidal</t>
        </is>
      </c>
      <c r="C20" s="315" t="inlineStr">
        <is>
          <t>Correlation coefficient &gt;0.995 for all fits</t>
        </is>
      </c>
    </row>
    <row r="21" ht="18" customHeight="1">
      <c r="A21" s="392" t="inlineStr">
        <is>
          <t>Calibration</t>
        </is>
      </c>
      <c r="B21" s="314" t="inlineStr">
        <is>
          <t>LECO H analysis on mill annealed + as-welded</t>
        </is>
      </c>
      <c r="C21" s="314" t="inlineStr">
        <is>
          <t>Used to convert TDS signal to absolute H concentration (ppm)</t>
        </is>
      </c>
    </row>
    <row r="22" ht="18" customHeight="1">
      <c r="A22" s="391" t="inlineStr">
        <is>
          <t>Desorption order</t>
        </is>
      </c>
      <c r="B22" s="391" t="inlineStr">
        <is>
          <t>First order (or near first order)</t>
        </is>
      </c>
      <c r="C22" s="315" t="inlineStr">
        <is>
          <t>Consistent with egress control by detrapping and diffusion [26,27]</t>
        </is>
      </c>
    </row>
    <row r="23" ht="8" customHeight="1"/>
    <row r="24" ht="20" customHeight="1">
      <c r="A24" s="389" t="inlineStr">
        <is>
          <t>HEAT TREATMENT CONDITIONS AND CARBIDE TYPES</t>
        </is>
      </c>
      <c r="B24" s="334" t="n"/>
      <c r="C24" s="334" t="n"/>
      <c r="D24" s="334" t="n"/>
      <c r="E24" s="334" t="n"/>
      <c r="F24" s="334" t="n"/>
      <c r="G24" s="334" t="n"/>
      <c r="H24" s="335" t="n"/>
    </row>
    <row r="25" ht="24" customHeight="1">
      <c r="A25" s="28" t="inlineStr">
        <is>
          <t>Material/Condition</t>
        </is>
      </c>
      <c r="B25" s="28" t="inlineStr">
        <is>
          <t>Heat Treatment</t>
        </is>
      </c>
      <c r="C25" s="28" t="inlineStr">
        <is>
          <t>Predominant Carbide</t>
        </is>
      </c>
      <c r="D25" s="28" t="inlineStr">
        <is>
          <t>GB Carbide State</t>
        </is>
      </c>
      <c r="E25" s="28" t="inlineStr">
        <is>
          <t>Fig. ref</t>
        </is>
      </c>
      <c r="F25" s="28" t="inlineStr">
        <is>
          <t>Notes</t>
        </is>
      </c>
    </row>
    <row r="26" ht="22" customHeight="1">
      <c r="A26" s="392" t="inlineStr">
        <is>
          <t>Fully annealed A600</t>
        </is>
      </c>
      <c r="B26" s="392" t="inlineStr">
        <is>
          <t>&gt;1000°C (solution anneal)</t>
        </is>
      </c>
      <c r="C26" s="392" t="inlineStr">
        <is>
          <t>None (solutionized)</t>
        </is>
      </c>
      <c r="D26" s="392" t="inlineStr">
        <is>
          <t>Carbides dissolved</t>
        </is>
      </c>
      <c r="E26" s="392" t="inlineStr">
        <is>
          <t>Fig 1a</t>
        </is>
      </c>
      <c r="F26" s="392" t="inlineStr">
        <is>
          <t>Reference condition — lattice traps only</t>
        </is>
      </c>
    </row>
    <row r="27" ht="22" customHeight="1">
      <c r="A27" s="391" t="inlineStr">
        <is>
          <t>Mill annealed A600</t>
        </is>
      </c>
      <c r="B27" s="391" t="inlineStr">
        <is>
          <t>&lt;1000°C</t>
        </is>
      </c>
      <c r="C27" s="391" t="inlineStr">
        <is>
          <t>M₇C₃ (pseudo-hexagonal)</t>
        </is>
      </c>
      <c r="D27" s="391" t="inlineStr">
        <is>
          <t>Large intra + inter-granular carbides</t>
        </is>
      </c>
      <c r="E27" s="391" t="inlineStr">
        <is>
          <t>Fig 1b</t>
        </is>
      </c>
      <c r="F27" s="315" t="inlineStr">
        <is>
          <t>STRONGEST TRAP: 55 kJ/mol. Most carbides of all conditions.</t>
        </is>
      </c>
    </row>
    <row r="28" ht="22" customHeight="1">
      <c r="A28" s="392" t="inlineStr">
        <is>
          <t>Fully annealed + sensitized A600</t>
        </is>
      </c>
      <c r="B28" s="392" t="inlineStr">
        <is>
          <t>FA + 600°C/24h/air cool</t>
        </is>
      </c>
      <c r="C28" s="392" t="inlineStr">
        <is>
          <t>M₂₃C₆ (more coherent)</t>
        </is>
      </c>
      <c r="D28" s="392" t="inlineStr">
        <is>
          <t>Fine GB precipitates</t>
        </is>
      </c>
      <c r="E28" s="392" t="inlineStr">
        <is>
          <t>Fig 1c</t>
        </is>
      </c>
      <c r="F28" s="314" t="inlineStr">
        <is>
          <t>Sensitization produces weaker traps (19–28 kJ/mol). M₂₃C₆ more coherent than M₇C₃.</t>
        </is>
      </c>
    </row>
    <row r="29" ht="22" customHeight="1">
      <c r="A29" s="391" t="inlineStr">
        <is>
          <t>As-welded E-182</t>
        </is>
      </c>
      <c r="B29" s="391" t="inlineStr">
        <is>
          <t>As-welded (no post-weld HT)</t>
        </is>
      </c>
      <c r="C29" s="391" t="inlineStr">
        <is>
          <t>Mixed (weld solidification)</t>
        </is>
      </c>
      <c r="D29" s="391" t="inlineStr">
        <is>
          <t>Interdendritic boundary carbides</t>
        </is>
      </c>
      <c r="E29" s="391" t="inlineStr">
        <is>
          <t>Fig 1d note</t>
        </is>
      </c>
      <c r="F29" s="315" t="inlineStr">
        <is>
          <t>Previously exposed to 288°C water 10,000 h under no load.</t>
        </is>
      </c>
    </row>
    <row r="30" ht="22" customHeight="1">
      <c r="A30" s="392" t="inlineStr">
        <is>
          <t>Sensitized E-182</t>
        </is>
      </c>
      <c r="B30" s="392" t="inlineStr">
        <is>
          <t>Welded + 600°C/24h/air cool</t>
        </is>
      </c>
      <c r="C30" s="392" t="inlineStr">
        <is>
          <t>M₂₃C₆ (sensitized)</t>
        </is>
      </c>
      <c r="D30" s="392" t="inlineStr">
        <is>
          <t>Fine GB precipitates</t>
        </is>
      </c>
      <c r="E30" s="392" t="inlineStr">
        <is>
          <t>Fig 1d</t>
        </is>
      </c>
      <c r="F30" s="314" t="inlineStr">
        <is>
          <t>Simulates severe weld sensitization per Stigenberg et al. [19].</t>
        </is>
      </c>
    </row>
    <row r="31" ht="8" customHeight="1"/>
    <row r="32" ht="20" customHeight="1">
      <c r="A32" s="389" t="inlineStr">
        <is>
          <t>KEY EQUATIONS</t>
        </is>
      </c>
      <c r="B32" s="334" t="n"/>
      <c r="C32" s="334" t="n"/>
      <c r="D32" s="334" t="n"/>
      <c r="E32" s="334" t="n"/>
      <c r="F32" s="334" t="n"/>
      <c r="G32" s="334" t="n"/>
      <c r="H32" s="335" t="n"/>
    </row>
    <row r="33" ht="24" customHeight="1">
      <c r="A33" s="28" t="inlineStr">
        <is>
          <t>Eq.</t>
        </is>
      </c>
      <c r="B33" s="28" t="inlineStr">
        <is>
          <t>Expression</t>
        </is>
      </c>
      <c r="C33" s="28" t="inlineStr">
        <is>
          <t>Parameters</t>
        </is>
      </c>
      <c r="D33" s="28" t="inlineStr">
        <is>
          <t>Notes</t>
        </is>
      </c>
    </row>
    <row r="34" ht="22" customHeight="1">
      <c r="A34" s="391" t="inlineStr">
        <is>
          <t>Eq.1</t>
        </is>
      </c>
      <c r="B34" s="315" t="inlineStr">
        <is>
          <t>C (ppm wt) = N_T × θ_T / (mass of A600+H per cm³)</t>
        </is>
      </c>
      <c r="C34" s="315" t="inlineStr">
        <is>
          <t>N_T = sites/cm³; θ_T = fractional occupancy</t>
        </is>
      </c>
      <c r="D34" s="315" t="inlineStr">
        <is>
          <t>Solubility at carbide/matrix interface. Used to estimate max H storage.</t>
        </is>
      </c>
    </row>
    <row r="35" ht="22" customHeight="1">
      <c r="A35" s="392" t="inlineStr">
        <is>
          <t>Eq.2</t>
        </is>
      </c>
      <c r="B35" s="392" t="inlineStr">
        <is>
          <t>E_d = R × T_max × (B × T_max − 1)</t>
        </is>
      </c>
      <c r="C35" s="392" t="inlineStr">
        <is>
          <t>B = 0.0292 K⁻¹; T_max in K; E_d in J/mol</t>
        </is>
      </c>
      <c r="D35" s="314" t="inlineStr">
        <is>
          <t>Peak temperature → desorption energy. B calibrated using fully annealed A600 (E_d = 49.8 kJ/mol at T_max).</t>
        </is>
      </c>
    </row>
    <row r="36" ht="22" customHeight="1">
      <c r="A36" s="391" t="inlineStr">
        <is>
          <t>Binding energy</t>
        </is>
      </c>
      <c r="B36" s="315" t="inlineStr">
        <is>
          <t>E_b = E_d(carbide trap) − E_d(lattice trap)</t>
        </is>
      </c>
      <c r="C36" s="315" t="inlineStr">
        <is>
          <t>Both from Eq.2 applied to respective TDS peaks</t>
        </is>
      </c>
      <c r="D36" s="315" t="inlineStr">
        <is>
          <t>Physical interpretation: energy gain from H moving from lattice site to carbide trap.</t>
        </is>
      </c>
    </row>
    <row r="37" ht="22" customHeight="1">
      <c r="A37" s="322" t="inlineStr">
        <is>
          <t>B = 0.0292 K⁻¹ calibration: Fully annealed A600 low-T peak set equal to known E_D = 49.8 kJ/mol for H diffusion in A600 (Rota et al. [24]). B assumed invariant across all conditions tested.</t>
        </is>
      </c>
      <c r="B37" s="334" t="n"/>
      <c r="C37" s="334" t="n"/>
      <c r="D37" s="334" t="n"/>
      <c r="E37" s="334" t="n"/>
      <c r="F37" s="334" t="n"/>
      <c r="G37" s="334" t="n"/>
      <c r="H37" s="335" t="n"/>
    </row>
    <row r="38" ht="8" customHeight="1"/>
    <row r="39" ht="20" customHeight="1">
      <c r="A39" s="389" t="inlineStr">
        <is>
          <t>TABLE 2 — Activation Energies and H Concentrations at Each Trap Site (as printed)</t>
        </is>
      </c>
      <c r="B39" s="334" t="n"/>
      <c r="C39" s="334" t="n"/>
      <c r="D39" s="334" t="n"/>
      <c r="E39" s="334" t="n"/>
      <c r="F39" s="334" t="n"/>
      <c r="G39" s="334" t="n"/>
      <c r="H39" s="335" t="n"/>
    </row>
    <row r="40" ht="22" customHeight="1">
      <c r="A40" s="343" t="inlineStr">
        <is>
          <t>E_a values from Eq.2 (TDS peak analysis at 5°C/min ramp). H concentrations normalized to total specimen mass. Lattice trap peak: ~180–220°C (453–493 K). Carbide trap peak: ~340–400°C (613–673 K).</t>
        </is>
      </c>
      <c r="B40" s="334" t="n"/>
      <c r="C40" s="334" t="n"/>
      <c r="D40" s="334" t="n"/>
      <c r="E40" s="334" t="n"/>
      <c r="F40" s="334" t="n"/>
      <c r="G40" s="334" t="n"/>
      <c r="H40" s="335" t="n"/>
    </row>
    <row r="41" ht="28" customHeight="1">
      <c r="A41" s="28" t="inlineStr">
        <is>
          <t>Material Condition</t>
        </is>
      </c>
      <c r="B41" s="28" t="inlineStr">
        <is>
          <t>E_a Lattice Trap (kJ/mol)</t>
        </is>
      </c>
      <c r="C41" s="28" t="inlineStr">
        <is>
          <t>E_a Carbide Trap (kJ/mol)</t>
        </is>
      </c>
      <c r="D41" s="28" t="inlineStr">
        <is>
          <t>Binding Energy to Carbide Trap (kJ/mol)</t>
        </is>
      </c>
      <c r="E41" s="28" t="inlineStr">
        <is>
          <t>Binding Energy (eV)</t>
        </is>
      </c>
      <c r="F41" s="28" t="inlineStr">
        <is>
          <t>H in Lattice (wt. ppm)</t>
        </is>
      </c>
      <c r="G41" s="28" t="inlineStr">
        <is>
          <t>H in Carbide Trap (wt. ppm)</t>
        </is>
      </c>
      <c r="H41" s="28" t="inlineStr">
        <is>
          <t>Predominant Carbide</t>
        </is>
      </c>
    </row>
    <row r="42" ht="20" customHeight="1">
      <c r="A42" s="391" t="inlineStr">
        <is>
          <t>Fully Annealed A600</t>
        </is>
      </c>
      <c r="B42" s="393" t="n">
        <v>49.8</v>
      </c>
      <c r="C42" s="393" t="n">
        <v>77.2</v>
      </c>
      <c r="D42" s="393" t="n">
        <v>27.4</v>
      </c>
      <c r="E42" s="393" t="n">
        <v>0.2839819661087216</v>
      </c>
      <c r="F42" s="393" t="n">
        <v>0.6</v>
      </c>
      <c r="G42" s="393" t="n">
        <v>0.2</v>
      </c>
      <c r="H42" s="391" t="inlineStr">
        <is>
          <t>None (solutionized)</t>
        </is>
      </c>
    </row>
    <row r="43" ht="20" customHeight="1">
      <c r="A43" s="391" t="inlineStr">
        <is>
          <t>Sensitized A600</t>
        </is>
      </c>
      <c r="B43" s="393" t="n">
        <v>52.7</v>
      </c>
      <c r="C43" s="393" t="n">
        <v>78.59999999999999</v>
      </c>
      <c r="D43" s="393" t="n">
        <v>25.9</v>
      </c>
      <c r="E43" s="393" t="n">
        <v>0.2684355081100689</v>
      </c>
      <c r="F43" s="393" t="n">
        <v>0.8</v>
      </c>
      <c r="G43" s="393" t="n">
        <v>0.3</v>
      </c>
      <c r="H43" s="391" t="inlineStr">
        <is>
          <t>M₂₃C₆ (fine)</t>
        </is>
      </c>
    </row>
    <row r="44" ht="20" customHeight="1">
      <c r="A44" s="398" t="inlineStr">
        <is>
          <t>Mill Annealed A600</t>
        </is>
      </c>
      <c r="B44" s="397" t="n">
        <v>51.8</v>
      </c>
      <c r="C44" s="397" t="n">
        <v>106.8</v>
      </c>
      <c r="D44" s="397" t="n">
        <v>55</v>
      </c>
      <c r="E44" s="397" t="n">
        <v>0.5700367932839302</v>
      </c>
      <c r="F44" s="397" t="n">
        <v>1.2</v>
      </c>
      <c r="G44" s="397" t="n">
        <v>1.8</v>
      </c>
      <c r="H44" s="398" t="inlineStr">
        <is>
          <t>M₇C₃ (large, intra+inter-GB)</t>
        </is>
      </c>
    </row>
    <row r="45" ht="20" customHeight="1">
      <c r="A45" s="391" t="inlineStr">
        <is>
          <t>As-welded E-182</t>
        </is>
      </c>
      <c r="B45" s="393" t="n">
        <v>48.7</v>
      </c>
      <c r="C45" s="393" t="n">
        <v>67.7</v>
      </c>
      <c r="D45" s="393" t="n">
        <v>19.9</v>
      </c>
      <c r="E45" s="393" t="n">
        <v>0.2062496761154584</v>
      </c>
      <c r="F45" s="393" t="n">
        <v>1.5</v>
      </c>
      <c r="G45" s="393" t="n">
        <v>0.9</v>
      </c>
      <c r="H45" s="391" t="inlineStr">
        <is>
          <t>Mixed weld carbides</t>
        </is>
      </c>
    </row>
    <row r="46" ht="20" customHeight="1">
      <c r="A46" s="392" t="inlineStr">
        <is>
          <t>Sensitized E-182</t>
        </is>
      </c>
      <c r="B46" s="390" t="n">
        <v>49.4</v>
      </c>
      <c r="C46" s="390" t="n">
        <v>74.8</v>
      </c>
      <c r="D46" s="390" t="n">
        <v>25.4</v>
      </c>
      <c r="E46" s="390" t="n">
        <v>0.2632533554438514</v>
      </c>
      <c r="F46" s="390" t="n">
        <v>2.7</v>
      </c>
      <c r="G46" s="390" t="n">
        <v>1</v>
      </c>
      <c r="H46" s="392" t="inlineStr">
        <is>
          <t>M₂₃C₆</t>
        </is>
      </c>
    </row>
    <row r="47" ht="8" customHeight="1"/>
    <row r="48" ht="20" customHeight="1">
      <c r="A48" s="389" t="inlineStr">
        <is>
          <t>TRAP SITE DENSITY ESTIMATE (Mill Annealed A600)</t>
        </is>
      </c>
      <c r="B48" s="334" t="n"/>
      <c r="C48" s="334" t="n"/>
      <c r="D48" s="334" t="n"/>
      <c r="E48" s="334" t="n"/>
      <c r="F48" s="334" t="n"/>
      <c r="G48" s="334" t="n"/>
      <c r="H48" s="335" t="n"/>
    </row>
    <row r="49" ht="24" customHeight="1">
      <c r="A49" s="28" t="inlineStr">
        <is>
          <t>Parameter</t>
        </is>
      </c>
      <c r="B49" s="28" t="inlineStr">
        <is>
          <t>Value</t>
        </is>
      </c>
      <c r="C49" s="28" t="inlineStr">
        <is>
          <t>Units</t>
        </is>
      </c>
      <c r="D49" s="28" t="inlineStr">
        <is>
          <t>Notes</t>
        </is>
      </c>
    </row>
    <row r="50" ht="20" customHeight="1">
      <c r="A50" s="391" t="inlineStr">
        <is>
          <t>N_T (upper bound)</t>
        </is>
      </c>
      <c r="B50" s="391" t="inlineStr">
        <is>
          <t>~2×10¹⁹</t>
        </is>
      </c>
      <c r="C50" s="391" t="inlineStr">
        <is>
          <t>sites/cm³ = 2×10²⁵ m⁻³</t>
        </is>
      </c>
      <c r="D50" s="315" t="inlineStr">
        <is>
          <t>From Eq.1 with θ_T = 1 (all sites filled). Grain boundary carbide/matrix interface.</t>
        </is>
      </c>
    </row>
    <row r="51" ht="20" customHeight="1">
      <c r="A51" s="392" t="inlineStr">
        <is>
          <t>Max H solubility at interface</t>
        </is>
      </c>
      <c r="B51" s="390" t="n">
        <v>4</v>
      </c>
      <c r="C51" s="392" t="inlineStr">
        <is>
          <t>wt. ppm</t>
        </is>
      </c>
      <c r="D51" s="314" t="inlineStr">
        <is>
          <t>Calculated from Eq.1 with N_T = 2×10¹⁹ cm⁻³ and θ_T = 1.</t>
        </is>
      </c>
    </row>
    <row r="52" ht="20" customHeight="1">
      <c r="A52" s="391" t="inlineStr">
        <is>
          <t>Actual H in carbide trap (mill annealed)</t>
        </is>
      </c>
      <c r="B52" s="393" t="n">
        <v>1.8</v>
      </c>
      <c r="C52" s="391" t="inlineStr">
        <is>
          <t>wt. ppm</t>
        </is>
      </c>
      <c r="D52" s="315" t="inlineStr">
        <is>
          <t>Measured by TDS. All 1.8 ppm may be at carbide/matrix interface (below 4 ppm max).</t>
        </is>
      </c>
    </row>
    <row r="53" ht="20" customHeight="1">
      <c r="A53" s="392" t="inlineStr">
        <is>
          <t>θ_T estimate (mill annealed)</t>
        </is>
      </c>
      <c r="B53" s="392" t="inlineStr">
        <is>
          <t>~0.45</t>
        </is>
      </c>
      <c r="C53" s="392" t="inlineStr">
        <is>
          <t>dimensionless</t>
        </is>
      </c>
      <c r="D53" s="314" t="inlineStr">
        <is>
          <t>1.8 ppm / 4 ppm max = ~45% site occupancy under charging conditions used.</t>
        </is>
      </c>
    </row>
    <row r="54" ht="8" customHeight="1"/>
    <row r="55" ht="20" customHeight="1">
      <c r="A55" s="394" t="inlineStr">
        <is>
          <t>★ BINDING ENERGY SUMMARY — USE IN TRAPPING MODEL</t>
        </is>
      </c>
      <c r="B55" s="334" t="n"/>
      <c r="C55" s="334" t="n"/>
      <c r="D55" s="334" t="n"/>
      <c r="E55" s="334" t="n"/>
      <c r="F55" s="334" t="n"/>
      <c r="G55" s="334" t="n"/>
      <c r="H55" s="335" t="n"/>
    </row>
    <row r="56" ht="36" customHeight="1">
      <c r="A56" s="349" t="inlineStr">
        <is>
          <t>Binding energy = E_d(carbide trap) − E_d(lattice trap), measured by TDS at 5°C/min.  Hastelloy N primarily contains M₆C carbides (Mo/Ni-rich). M₆C is structurally similar to M₇C₃ → use mill annealed A600 value as upper bound.  M₂₃C₆ may form in Hastelloy N under some heat treatments → use sensitized values as lower bound.</t>
        </is>
      </c>
      <c r="B56" s="334" t="n"/>
      <c r="C56" s="334" t="n"/>
      <c r="D56" s="334" t="n"/>
      <c r="E56" s="334" t="n"/>
      <c r="F56" s="334" t="n"/>
      <c r="G56" s="334" t="n"/>
      <c r="H56" s="335" t="n"/>
    </row>
    <row r="57" ht="28" customHeight="1">
      <c r="A57" s="36" t="inlineStr">
        <is>
          <t>Carbide Type</t>
        </is>
      </c>
      <c r="B57" s="36" t="inlineStr">
        <is>
          <t>Binding Energy (kJ/mol)</t>
        </is>
      </c>
      <c r="C57" s="36" t="inlineStr">
        <is>
          <t>Binding Energy (eV)</t>
        </is>
      </c>
      <c r="D57" s="36" t="inlineStr">
        <is>
          <t>Placeholder in code</t>
        </is>
      </c>
      <c r="E57" s="36" t="inlineStr">
        <is>
          <t>Recommended update</t>
        </is>
      </c>
      <c r="F57" s="36" t="inlineStr">
        <is>
          <t>Heat treatment</t>
        </is>
      </c>
      <c r="G57" s="36" t="inlineStr">
        <is>
          <t>Trap strength</t>
        </is>
      </c>
      <c r="H57" s="36" t="inlineStr">
        <is>
          <t>Applicability to Hastelloy N</t>
        </is>
      </c>
    </row>
    <row r="58" ht="22" customHeight="1">
      <c r="A58" s="391" t="inlineStr">
        <is>
          <t>None (dissolved)</t>
        </is>
      </c>
      <c r="B58" s="393" t="n">
        <v>27.4</v>
      </c>
      <c r="C58" s="393" t="n">
        <v>0.2839819661087216</v>
      </c>
      <c r="D58" s="391" t="inlineStr">
        <is>
          <t>0 eV (placeholder)</t>
        </is>
      </c>
      <c r="E58" s="315" t="inlineStr">
        <is>
          <t>Use 27.4 kJ/mol as lower bound (lattice/interface)</t>
        </is>
      </c>
      <c r="F58" s="391" t="inlineStr">
        <is>
          <t>Fully annealed &gt;1000°C</t>
        </is>
      </c>
      <c r="G58" s="391" t="inlineStr">
        <is>
          <t>Weak</t>
        </is>
      </c>
      <c r="H58" s="315" t="inlineStr">
        <is>
          <t>Hastelloy N solution-annealed: carbide traps minimal</t>
        </is>
      </c>
    </row>
    <row r="59" ht="22" customHeight="1">
      <c r="A59" s="401" t="inlineStr">
        <is>
          <t>M₂₃C₆ (sensitized)</t>
        </is>
      </c>
      <c r="B59" s="380" t="n">
        <v>23.7</v>
      </c>
      <c r="C59" s="380" t="n">
        <v>0.246</v>
      </c>
      <c r="D59" s="401" t="inlineStr">
        <is>
          <t>0 eV (placeholder)</t>
        </is>
      </c>
      <c r="E59" s="401" t="inlineStr">
        <is>
          <t>Mean 23.7 kJ/mol — update carbide E_b</t>
        </is>
      </c>
      <c r="F59" s="401" t="inlineStr">
        <is>
          <t>600°C sensitization</t>
        </is>
      </c>
      <c r="G59" s="401" t="inlineStr">
        <is>
          <t>Moderate (reversible)</t>
        </is>
      </c>
      <c r="H59" s="321" t="inlineStr">
        <is>
          <t>May form in Hastelloy N under long thermal exposure</t>
        </is>
      </c>
    </row>
    <row r="60" ht="22" customHeight="1">
      <c r="A60" s="398" t="inlineStr">
        <is>
          <t>M₇C₃ (mill annealed)</t>
        </is>
      </c>
      <c r="B60" s="397" t="n">
        <v>55</v>
      </c>
      <c r="C60" s="397" t="n">
        <v>0.5700367932839302</v>
      </c>
      <c r="D60" s="398" t="inlineStr">
        <is>
          <t>0 eV (placeholder)</t>
        </is>
      </c>
      <c r="E60" s="301" t="inlineStr">
        <is>
          <t>55 kJ/mol = 0.570 eV — strong trap upper bound</t>
        </is>
      </c>
      <c r="F60" s="398" t="inlineStr">
        <is>
          <t>&lt;1000°C mill anneal</t>
        </is>
      </c>
      <c r="G60" s="398" t="inlineStr">
        <is>
          <t>Strong (may be irreversible)</t>
        </is>
      </c>
      <c r="H60" s="301" t="inlineStr">
        <is>
          <t>M₆C in Hastelloy N structurally similar — use as upper bound</t>
        </is>
      </c>
    </row>
    <row r="61" ht="8" customHeight="1"/>
    <row r="62" ht="20" customHeight="1">
      <c r="A62" s="389" t="inlineStr">
        <is>
          <t>KEY QUANTITATIVE STATEMENTS FROM TEXT</t>
        </is>
      </c>
      <c r="B62" s="334" t="n"/>
      <c r="C62" s="334" t="n"/>
      <c r="D62" s="334" t="n"/>
      <c r="E62" s="334" t="n"/>
      <c r="F62" s="334" t="n"/>
      <c r="G62" s="334" t="n"/>
      <c r="H62" s="335" t="n"/>
    </row>
    <row r="63" ht="24" customHeight="1">
      <c r="A63" s="28" t="inlineStr">
        <is>
          <t>Statement</t>
        </is>
      </c>
      <c r="B63" s="28" t="inlineStr">
        <is>
          <t>Value/Range</t>
        </is>
      </c>
      <c r="C63" s="28" t="inlineStr">
        <is>
          <t>Source</t>
        </is>
      </c>
    </row>
    <row r="64" ht="18" customHeight="1">
      <c r="A64" s="315" t="inlineStr">
        <is>
          <t>Lattice H diffusivity in A600 at 25°C (extrapolated)</t>
        </is>
      </c>
      <c r="B64" s="391" t="inlineStr">
        <is>
          <t>3.1×10⁻¹¹ cm²/s</t>
        </is>
      </c>
      <c r="C64" s="315" t="inlineStr">
        <is>
          <t>Rota et al. [24] — used to justify 3-day charging</t>
        </is>
      </c>
    </row>
    <row r="65" ht="18" customHeight="1">
      <c r="A65" s="392" t="inlineStr">
        <is>
          <t>TDS low-T peak range (all conditions)</t>
        </is>
      </c>
      <c r="B65" s="392" t="inlineStr">
        <is>
          <t>180–220°C (453–493 K)</t>
        </is>
      </c>
      <c r="C65" s="392" t="inlineStr">
        <is>
          <t>Lattice + weak trap sites</t>
        </is>
      </c>
    </row>
    <row r="66" ht="18" customHeight="1">
      <c r="A66" s="391" t="inlineStr">
        <is>
          <t>TDS high-T peak range (carbide trap)</t>
        </is>
      </c>
      <c r="B66" s="391" t="inlineStr">
        <is>
          <t>340–400°C (613–673 K)</t>
        </is>
      </c>
      <c r="C66" s="391" t="inlineStr">
        <is>
          <t>Carbide/matrix interface traps</t>
        </is>
      </c>
    </row>
    <row r="67" ht="18" customHeight="1">
      <c r="A67" s="392" t="inlineStr">
        <is>
          <t>B constant (TDS calibration)</t>
        </is>
      </c>
      <c r="B67" s="392" t="inlineStr">
        <is>
          <t>0.0292 K⁻¹</t>
        </is>
      </c>
      <c r="C67" s="314" t="inlineStr">
        <is>
          <t>Eq.2, set using FA A600 E_D = 49.8 kJ/mol</t>
        </is>
      </c>
    </row>
    <row r="68" ht="18" customHeight="1">
      <c r="A68" s="391" t="inlineStr">
        <is>
          <t>Correlation of peak fits</t>
        </is>
      </c>
      <c r="B68" s="391" t="inlineStr">
        <is>
          <t>&gt;0.995</t>
        </is>
      </c>
      <c r="C68" s="391" t="inlineStr">
        <is>
          <t>Asymmetric double sigmoidal fits</t>
        </is>
      </c>
    </row>
    <row r="69" ht="18" customHeight="1">
      <c r="A69" s="314" t="inlineStr">
        <is>
          <t>H content increase (strained vs unstrained, Shewmon)</t>
        </is>
      </c>
      <c r="B69" s="392" t="inlineStr">
        <is>
          <t>~10× increase</t>
        </is>
      </c>
      <c r="C69" s="392" t="inlineStr">
        <is>
          <t>Cited ref [17] — not direct measurement</t>
        </is>
      </c>
    </row>
    <row r="70" ht="18" customHeight="1">
      <c r="A70" s="391" t="inlineStr">
        <is>
          <t>M₂₃C₆ coherency argument</t>
        </is>
      </c>
      <c r="B70" s="391" t="inlineStr">
        <is>
          <t>More coherent than M₇C₃</t>
        </is>
      </c>
      <c r="C70" s="315" t="inlineStr">
        <is>
          <t>Cited refs [30,31] — explains weaker trap</t>
        </is>
      </c>
    </row>
    <row r="71" ht="18" customHeight="1">
      <c r="A71" s="314" t="inlineStr">
        <is>
          <t>Beneficial effect on SCC: mill annealed A600</t>
        </is>
      </c>
      <c r="B71" s="392" t="inlineStr">
        <is>
          <t>Decreased intergranular SCC</t>
        </is>
      </c>
      <c r="C71" s="392" t="inlineStr">
        <is>
          <t>H trapped at M₇C₃ delayed from crack tip</t>
        </is>
      </c>
    </row>
    <row r="72" ht="18" customHeight="1">
      <c r="A72" s="391" t="inlineStr">
        <is>
          <t>Detrimental effect: E-182 vs A600</t>
        </is>
      </c>
      <c r="B72" s="391" t="inlineStr">
        <is>
          <t>Greater H uptake in E-182</t>
        </is>
      </c>
      <c r="C72" s="391" t="inlineStr">
        <is>
          <t>TDS FIG 3 — increased diffusible H</t>
        </is>
      </c>
    </row>
    <row r="73" ht="18" customHeight="1">
      <c r="A73" s="314" t="inlineStr">
        <is>
          <t>H concentration range in charged specimens</t>
        </is>
      </c>
      <c r="B73" s="314" t="inlineStr">
        <is>
          <t>0.6–2.7 ppm in lattice; 0.2–1.8 ppm in carbide trap</t>
        </is>
      </c>
      <c r="C73" s="392" t="inlineStr">
        <is>
          <t>Table 2</t>
        </is>
      </c>
    </row>
    <row r="74" ht="12" customHeight="1"/>
  </sheetData>
  <mergeCells count="14">
    <mergeCell ref="A56:H56"/>
    <mergeCell ref="A1:H1"/>
    <mergeCell ref="A48:H48"/>
    <mergeCell ref="A3:H3"/>
    <mergeCell ref="A62:H62"/>
    <mergeCell ref="A39:H39"/>
    <mergeCell ref="A55:H55"/>
    <mergeCell ref="A24:H24"/>
    <mergeCell ref="A2:H2"/>
    <mergeCell ref="A10:H10"/>
    <mergeCell ref="A5:H5"/>
    <mergeCell ref="A37:H37"/>
    <mergeCell ref="A32:H32"/>
    <mergeCell ref="A40:H40"/>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70"/>
  <sheetViews>
    <sheetView showGridLines="0" workbookViewId="0">
      <selection activeCell="A1" sqref="A1"/>
    </sheetView>
  </sheetViews>
  <sheetFormatPr baseColWidth="8" defaultRowHeight="15"/>
  <cols>
    <col width="30" customWidth="1" min="1" max="1"/>
    <col width="18" customWidth="1" min="2" max="2"/>
    <col width="16" customWidth="1" min="3" max="3"/>
    <col width="16" customWidth="1" min="4" max="4"/>
    <col width="16" customWidth="1" min="5" max="5"/>
    <col width="16" customWidth="1" min="6" max="6"/>
    <col width="32" customWidth="1" min="7" max="7"/>
  </cols>
  <sheetData>
    <row r="1" ht="26" customHeight="1">
      <c r="A1" s="388" t="inlineStr">
        <is>
          <t>Tateyama &amp; Ohno 2003 -- Raw Data Extraction</t>
        </is>
      </c>
      <c r="B1" s="332" t="n"/>
      <c r="C1" s="332" t="n"/>
      <c r="D1" s="332" t="n"/>
      <c r="E1" s="332" t="n"/>
      <c r="F1" s="332" t="n"/>
      <c r="G1" s="333" t="n"/>
    </row>
    <row r="2" ht="28" customHeight="1">
      <c r="A2" s="284" t="inlineStr">
        <is>
          <t>Tateyama Y, Ohno T. "Stability and Clusterization of Hydrogen-Vacancy Complexes in alpha-Fe: An Ab Initio Study." Physical Review B, 67, 174105 (2003).  DOI: 10.1103/PhysRevB.67.174105  |  Method: DFT, spin-polarized GGA, 54-site bcc supercell, 27 k-points.  Software: FLAPW (full-potential linearized augmented plane-wave).</t>
        </is>
      </c>
      <c r="B2" s="334" t="n"/>
      <c r="C2" s="334" t="n"/>
      <c r="D2" s="334" t="n"/>
      <c r="E2" s="334" t="n"/>
      <c r="F2" s="334" t="n"/>
      <c r="G2" s="335" t="n"/>
    </row>
    <row r="3" ht="36" customHeight="1">
      <c r="A3" s="319" t="inlineStr">
        <is>
          <t>WARNING: bcc alpha-Fe ONLY. VH1/VH2 binding = 0.60 eV in Fe. Equivalent for fcc Ni = ~0.43 eV (requires separate Ni-specific DFT source). Do NOT use Fe values in Hastelloy N trapping dictionary. This sheet provides the canonical methodology reference and Fe baseline.</t>
        </is>
      </c>
      <c r="B3" s="334" t="n"/>
      <c r="C3" s="334" t="n"/>
      <c r="D3" s="334" t="n"/>
      <c r="E3" s="334" t="n"/>
      <c r="F3" s="334" t="n"/>
      <c r="G3" s="335" t="n"/>
    </row>
    <row r="4" ht="8" customHeight="1"/>
    <row r="5" ht="20" customHeight="1">
      <c r="A5" s="389" t="inlineStr">
        <is>
          <t>CALCULATION SETUP</t>
        </is>
      </c>
      <c r="B5" s="334" t="n"/>
      <c r="C5" s="334" t="n"/>
      <c r="D5" s="334" t="n"/>
      <c r="E5" s="334" t="n"/>
      <c r="F5" s="334" t="n"/>
      <c r="G5" s="335" t="n"/>
    </row>
    <row r="6" ht="24" customHeight="1">
      <c r="A6" s="28" t="inlineStr">
        <is>
          <t>Parameter</t>
        </is>
      </c>
      <c r="B6" s="28" t="inlineStr">
        <is>
          <t>Value</t>
        </is>
      </c>
      <c r="C6" s="28" t="inlineStr">
        <is>
          <t>Notes</t>
        </is>
      </c>
    </row>
    <row r="7" ht="18" customHeight="1">
      <c r="A7" s="391" t="inlineStr">
        <is>
          <t>Material</t>
        </is>
      </c>
      <c r="B7" s="391" t="inlineStr">
        <is>
          <t>alpha-Fe (bcc, ferromagnetic)</t>
        </is>
      </c>
      <c r="C7" s="391" t="inlineStr">
        <is>
          <t>NOT fcc Ni</t>
        </is>
      </c>
    </row>
    <row r="8" ht="18" customHeight="1">
      <c r="A8" s="392" t="inlineStr">
        <is>
          <t>Method</t>
        </is>
      </c>
      <c r="B8" s="392" t="inlineStr">
        <is>
          <t>DFT spin-polarized GGA (FLAPW)</t>
        </is>
      </c>
      <c r="C8" s="314" t="inlineStr">
        <is>
          <t>Full-potential linearized augmented plane-wave</t>
        </is>
      </c>
    </row>
    <row r="9" ht="18" customHeight="1">
      <c r="A9" s="391" t="inlineStr">
        <is>
          <t>Supercell</t>
        </is>
      </c>
      <c r="B9" s="391" t="inlineStr">
        <is>
          <t>54 bcc sites</t>
        </is>
      </c>
      <c r="C9" s="391" t="inlineStr">
        <is>
          <t>Also 128-site for convergence checks</t>
        </is>
      </c>
    </row>
    <row r="10" ht="18" customHeight="1">
      <c r="A10" s="392" t="inlineStr">
        <is>
          <t>k-points (supercell FBZ)</t>
        </is>
      </c>
      <c r="B10" s="392" t="inlineStr">
        <is>
          <t>27 (equiv. ~1458 for primitive cell)</t>
        </is>
      </c>
      <c r="C10" s="392" t="inlineStr"/>
    </row>
    <row r="11" ht="18" customHeight="1">
      <c r="A11" s="391" t="inlineStr">
        <is>
          <t>Plane-wave cutoff (wavefunctions)</t>
        </is>
      </c>
      <c r="B11" s="391" t="inlineStr">
        <is>
          <t>25 Ry</t>
        </is>
      </c>
      <c r="C11" s="391" t="inlineStr"/>
    </row>
    <row r="12" ht="18" customHeight="1">
      <c r="A12" s="392" t="inlineStr">
        <is>
          <t>Plane-wave cutoff (augmented charge)</t>
        </is>
      </c>
      <c r="B12" s="392" t="inlineStr">
        <is>
          <t>289 Ry</t>
        </is>
      </c>
      <c r="C12" s="392" t="inlineStr"/>
    </row>
    <row r="13" ht="18" customHeight="1">
      <c r="A13" s="391" t="inlineStr">
        <is>
          <t>ZPE: H at T-site in bulk</t>
        </is>
      </c>
      <c r="B13" s="391" t="inlineStr">
        <is>
          <t>0.20 eV</t>
        </is>
      </c>
      <c r="C13" s="391" t="inlineStr">
        <is>
          <t>Largest ZPE -- tight T-site potential</t>
        </is>
      </c>
    </row>
    <row r="14" ht="18" customHeight="1">
      <c r="A14" s="392" t="inlineStr">
        <is>
          <t>ZPE: H in VH_n (avg used)</t>
        </is>
      </c>
      <c r="B14" s="392" t="inlineStr">
        <is>
          <t>0.14 eV</t>
        </is>
      </c>
      <c r="C14" s="392" t="inlineStr">
        <is>
          <t>Range 0.135-0.145 eV across n=1-4</t>
        </is>
      </c>
    </row>
    <row r="15" ht="18" customHeight="1">
      <c r="A15" s="391" t="inlineStr">
        <is>
          <t>ZPE: H in H2 molecule</t>
        </is>
      </c>
      <c r="B15" s="391" t="inlineStr">
        <is>
          <t>~0.14 eV</t>
        </is>
      </c>
      <c r="C15" s="391" t="inlineStr">
        <is>
          <t>Reference state</t>
        </is>
      </c>
    </row>
    <row r="16" ht="8" customHeight="1"/>
    <row r="17" ht="20" customHeight="1">
      <c r="A17" s="389" t="inlineStr">
        <is>
          <t>TABLE I -- alpha-Fe Material Properties (Validation)</t>
        </is>
      </c>
      <c r="B17" s="334" t="n"/>
      <c r="C17" s="334" t="n"/>
      <c r="D17" s="334" t="n"/>
      <c r="E17" s="334" t="n"/>
      <c r="F17" s="334" t="n"/>
      <c r="G17" s="335" t="n"/>
    </row>
    <row r="18" ht="24" customHeight="1">
      <c r="A18" s="28" t="inlineStr">
        <is>
          <t>Property</t>
        </is>
      </c>
      <c r="B18" s="28" t="inlineStr">
        <is>
          <t>This work (DFT)</t>
        </is>
      </c>
      <c r="C18" s="28" t="inlineStr">
        <is>
          <t>Other calc. (GGA)</t>
        </is>
      </c>
      <c r="D18" s="28" t="inlineStr">
        <is>
          <t>Experiment</t>
        </is>
      </c>
      <c r="E18" s="28" t="inlineStr">
        <is>
          <t>Notes</t>
        </is>
      </c>
    </row>
    <row r="19" ht="18" customHeight="1">
      <c r="A19" s="391" t="inlineStr">
        <is>
          <t>Lattice constant a0 (A)</t>
        </is>
      </c>
      <c r="B19" s="393" t="n">
        <v>2.85</v>
      </c>
      <c r="C19" s="393" t="n">
        <v>2.86</v>
      </c>
      <c r="D19" s="393" t="n">
        <v>2.86</v>
      </c>
      <c r="E19" s="391" t="inlineStr">
        <is>
          <t>DFT underestimates by 0.35%</t>
        </is>
      </c>
    </row>
    <row r="20" ht="18" customHeight="1">
      <c r="A20" s="392" t="inlineStr">
        <is>
          <t>Bulk modulus B0 (GPa)</t>
        </is>
      </c>
      <c r="B20" s="390" t="n">
        <v>152</v>
      </c>
      <c r="C20" s="390" t="n">
        <v>155</v>
      </c>
      <c r="D20" s="390" t="n">
        <v>168</v>
      </c>
      <c r="E20" s="392" t="inlineStr">
        <is>
          <t>GGA underestimates -- typical</t>
        </is>
      </c>
    </row>
    <row r="21" ht="18" customHeight="1">
      <c r="A21" s="391" t="inlineStr">
        <is>
          <t>Magnetic moment (uB/atom)</t>
        </is>
      </c>
      <c r="B21" s="393" t="n">
        <v>2.24</v>
      </c>
      <c r="C21" s="393" t="n">
        <v>2.32</v>
      </c>
      <c r="D21" s="393" t="n">
        <v>2.22</v>
      </c>
      <c r="E21" s="391" t="inlineStr">
        <is>
          <t>Good agreement</t>
        </is>
      </c>
    </row>
    <row r="22" ht="18" customHeight="1">
      <c r="A22" s="392" t="inlineStr">
        <is>
          <t>Heat of solution E_s (eV/H)</t>
        </is>
      </c>
      <c r="B22" s="390" t="n">
        <v>0.34</v>
      </c>
      <c r="C22" s="392" t="inlineStr">
        <is>
          <t>---</t>
        </is>
      </c>
      <c r="D22" s="392" t="inlineStr">
        <is>
          <t>0.29 (expt)</t>
        </is>
      </c>
      <c r="E22" s="392" t="inlineStr">
        <is>
          <t>H interstitial in bulk</t>
        </is>
      </c>
    </row>
    <row r="23" ht="8" customHeight="1"/>
    <row r="24" ht="20" customHeight="1">
      <c r="A24" s="389" t="inlineStr">
        <is>
          <t>TABLE III -- Vacancy and Divacancy Formation Energies (alpha-Fe)</t>
        </is>
      </c>
      <c r="B24" s="334" t="n"/>
      <c r="C24" s="334" t="n"/>
      <c r="D24" s="334" t="n"/>
      <c r="E24" s="334" t="n"/>
      <c r="F24" s="334" t="n"/>
      <c r="G24" s="335" t="n"/>
    </row>
    <row r="25" ht="18" customHeight="1">
      <c r="A25" s="343" t="inlineStr">
        <is>
          <t>E_F = formation energy at constant volume. H_F = formation enthalpy at relaxed volume. Volume relaxation contribution: &lt;0.01 eV for all defects.</t>
        </is>
      </c>
      <c r="B25" s="334" t="n"/>
      <c r="C25" s="334" t="n"/>
      <c r="D25" s="334" t="n"/>
      <c r="E25" s="334" t="n"/>
      <c r="F25" s="334" t="n"/>
      <c r="G25" s="335" t="n"/>
    </row>
    <row r="26" ht="26" customHeight="1">
      <c r="A26" s="28" t="inlineStr">
        <is>
          <t>Defect</t>
        </is>
      </c>
      <c r="B26" s="28" t="inlineStr">
        <is>
          <t>Supercell</t>
        </is>
      </c>
      <c r="C26" s="28" t="inlineStr">
        <is>
          <t>E_F (eV, const. vol.)</t>
        </is>
      </c>
      <c r="D26" s="28" t="inlineStr">
        <is>
          <t>H_F (eV, relax. vol.)</t>
        </is>
      </c>
      <c r="E26" s="28" t="inlineStr">
        <is>
          <t>V_F/V0</t>
        </is>
      </c>
      <c r="F26" s="28" t="inlineStr">
        <is>
          <t>Notes</t>
        </is>
      </c>
    </row>
    <row r="27" ht="18" customHeight="1">
      <c r="A27" s="391" t="inlineStr">
        <is>
          <t>Monovacancy V</t>
        </is>
      </c>
      <c r="B27" s="391" t="inlineStr">
        <is>
          <t>54-site</t>
        </is>
      </c>
      <c r="C27" s="393" t="n">
        <v>2</v>
      </c>
      <c r="D27" s="393" t="n">
        <v>2</v>
      </c>
      <c r="E27" s="393" t="n">
        <v>0.86</v>
      </c>
      <c r="F27" s="391" t="inlineStr">
        <is>
          <t>Primary calculation</t>
        </is>
      </c>
    </row>
    <row r="28" ht="18" customHeight="1">
      <c r="A28" s="392" t="inlineStr">
        <is>
          <t>Monovacancy V</t>
        </is>
      </c>
      <c r="B28" s="392" t="inlineStr">
        <is>
          <t>128-site</t>
        </is>
      </c>
      <c r="C28" s="390" t="n">
        <v>2.1</v>
      </c>
      <c r="D28" s="390" t="n">
        <v>2.09</v>
      </c>
      <c r="E28" s="390" t="n">
        <v>0.8</v>
      </c>
      <c r="F28" s="392" t="inlineStr">
        <is>
          <t>Size convergence check</t>
        </is>
      </c>
    </row>
    <row r="29" ht="18" customHeight="1">
      <c r="A29" s="391" t="inlineStr">
        <is>
          <t>Monovacancy V (PWPP-GGA lit.)</t>
        </is>
      </c>
      <c r="B29" s="391" t="inlineStr">
        <is>
          <t>N/A</t>
        </is>
      </c>
      <c r="C29" s="393" t="n">
        <v>1.95</v>
      </c>
      <c r="D29" s="391" t="inlineStr">
        <is>
          <t>---</t>
        </is>
      </c>
      <c r="E29" s="393" t="n">
        <v>0.9</v>
      </c>
      <c r="F29" s="391" t="inlineStr">
        <is>
          <t>Literature comparison</t>
        </is>
      </c>
    </row>
    <row r="30" ht="18" customHeight="1">
      <c r="A30" s="392" t="inlineStr">
        <is>
          <t>Monovacancy V (experiment)</t>
        </is>
      </c>
      <c r="B30" s="392" t="inlineStr">
        <is>
          <t>N/A</t>
        </is>
      </c>
      <c r="C30" s="392" t="inlineStr">
        <is>
          <t>1.6-2.0</t>
        </is>
      </c>
      <c r="D30" s="392" t="inlineStr">
        <is>
          <t>---</t>
        </is>
      </c>
      <c r="E30" s="390" t="n">
        <v>0.95</v>
      </c>
      <c r="F30" s="392" t="inlineStr">
        <is>
          <t>Experimental range</t>
        </is>
      </c>
    </row>
    <row r="31" ht="18" customHeight="1">
      <c r="A31" s="391" t="inlineStr">
        <is>
          <t>&lt;100&gt; divacancy</t>
        </is>
      </c>
      <c r="B31" s="391" t="inlineStr">
        <is>
          <t>54-site</t>
        </is>
      </c>
      <c r="C31" s="393" t="n">
        <v>3.85</v>
      </c>
      <c r="D31" s="393" t="n">
        <v>3.84</v>
      </c>
      <c r="E31" s="393" t="n">
        <v>0.65</v>
      </c>
      <c r="F31" s="391" t="inlineStr"/>
    </row>
    <row r="32" ht="18" customHeight="1">
      <c r="A32" s="392" t="inlineStr">
        <is>
          <t>&lt;100&gt; divacancy</t>
        </is>
      </c>
      <c r="B32" s="392" t="inlineStr">
        <is>
          <t>128-site</t>
        </is>
      </c>
      <c r="C32" s="390" t="n">
        <v>3.96</v>
      </c>
      <c r="D32" s="390" t="n">
        <v>3.95</v>
      </c>
      <c r="E32" s="390" t="n">
        <v>0.7</v>
      </c>
      <c r="F32" s="392" t="inlineStr">
        <is>
          <t>Size convergence</t>
        </is>
      </c>
    </row>
    <row r="33" ht="18" customHeight="1">
      <c r="A33" s="391" t="inlineStr">
        <is>
          <t>&lt;111&gt; divacancy</t>
        </is>
      </c>
      <c r="B33" s="391" t="inlineStr">
        <is>
          <t>54-site</t>
        </is>
      </c>
      <c r="C33" s="393" t="n">
        <v>3.92</v>
      </c>
      <c r="D33" s="393" t="n">
        <v>3.91</v>
      </c>
      <c r="E33" s="393" t="n">
        <v>0.74</v>
      </c>
      <c r="F33" s="391" t="inlineStr"/>
    </row>
    <row r="34" ht="18" customHeight="1">
      <c r="A34" s="392" t="inlineStr">
        <is>
          <t>&lt;111&gt; divacancy</t>
        </is>
      </c>
      <c r="B34" s="392" t="inlineStr">
        <is>
          <t>128-site</t>
        </is>
      </c>
      <c r="C34" s="390" t="n">
        <v>4.02</v>
      </c>
      <c r="D34" s="390" t="n">
        <v>4.01</v>
      </c>
      <c r="E34" s="390" t="n">
        <v>0.72</v>
      </c>
      <c r="F34" s="392" t="inlineStr">
        <is>
          <t>Size convergence</t>
        </is>
      </c>
    </row>
    <row r="35" ht="8" customHeight="1"/>
    <row r="36" ht="20" customHeight="1">
      <c r="A36" s="389" t="inlineStr">
        <is>
          <t>H TRAPPING ENERGIES IN VH_n COMPLEXES -- Figure 3 + text (alpha-Fe ONLY)</t>
        </is>
      </c>
      <c r="B36" s="334" t="n"/>
      <c r="C36" s="334" t="n"/>
      <c r="D36" s="334" t="n"/>
      <c r="E36" s="334" t="n"/>
      <c r="F36" s="334" t="n"/>
      <c r="G36" s="335" t="n"/>
    </row>
    <row r="37" ht="22" customHeight="1">
      <c r="A37" s="343" t="inlineStr">
        <is>
          <t>E_trap = energy for trapping H from interstitial T-site into VH_(n-1). Positive = exothermic (trapping favorable). ZPE included.  Ni equivalent for VH1/VH2: ~0.43 eV (NOT 0.60 eV).</t>
        </is>
      </c>
      <c r="B37" s="334" t="n"/>
      <c r="C37" s="334" t="n"/>
      <c r="D37" s="334" t="n"/>
      <c r="E37" s="334" t="n"/>
      <c r="F37" s="334" t="n"/>
      <c r="G37" s="335" t="n"/>
    </row>
    <row r="38" ht="26" customHeight="1">
      <c r="A38" s="28" t="inlineStr">
        <is>
          <t>Complex</t>
        </is>
      </c>
      <c r="B38" s="28" t="inlineStr">
        <is>
          <t>E_trap DFT (eV)</t>
        </is>
      </c>
      <c r="C38" s="28" t="inlineStr">
        <is>
          <t>E_trap EMT lit (eV)</t>
        </is>
      </c>
      <c r="D38" s="28" t="inlineStr">
        <is>
          <t>E_trap (kJ/mol)</t>
        </is>
      </c>
      <c r="E38" s="28" t="inlineStr">
        <is>
          <t>Experiment</t>
        </is>
      </c>
      <c r="F38" s="28" t="inlineStr">
        <is>
          <t>Stability @ ambient P</t>
        </is>
      </c>
      <c r="G38" s="28" t="inlineStr">
        <is>
          <t>Notes</t>
        </is>
      </c>
    </row>
    <row r="39" ht="20" customHeight="1">
      <c r="A39" s="374" t="inlineStr">
        <is>
          <t>VH1</t>
        </is>
      </c>
      <c r="B39" s="358" t="n">
        <v>0.6</v>
      </c>
      <c r="C39" s="374" t="inlineStr">
        <is>
          <t>~0.80</t>
        </is>
      </c>
      <c r="D39" s="358" t="n">
        <v>57.9</v>
      </c>
      <c r="E39" s="374" t="inlineStr">
        <is>
          <t>0.63 eV state</t>
        </is>
      </c>
      <c r="F39" s="374" t="inlineStr">
        <is>
          <t>Exothermic</t>
        </is>
      </c>
      <c r="G39" s="374" t="inlineStr">
        <is>
          <t>Dominant at ambient H2 pressure</t>
        </is>
      </c>
    </row>
    <row r="40" ht="20" customHeight="1">
      <c r="A40" s="398" t="inlineStr">
        <is>
          <t>VH2</t>
        </is>
      </c>
      <c r="B40" s="397" t="n">
        <v>0.6</v>
      </c>
      <c r="C40" s="398" t="inlineStr">
        <is>
          <t>~0.80</t>
        </is>
      </c>
      <c r="D40" s="397" t="n">
        <v>57.9</v>
      </c>
      <c r="E40" s="398" t="inlineStr">
        <is>
          <t>0.63 eV state</t>
        </is>
      </c>
      <c r="F40" s="398" t="inlineStr">
        <is>
          <t>Exothermic</t>
        </is>
      </c>
      <c r="G40" s="301" t="inlineStr">
        <is>
          <t>MAJOR COMPLEX at ambient -- not VH6 as previously assumed</t>
        </is>
      </c>
    </row>
    <row r="41" ht="20" customHeight="1">
      <c r="A41" s="401" t="inlineStr">
        <is>
          <t>VH3</t>
        </is>
      </c>
      <c r="B41" s="380" t="n">
        <v>0.4</v>
      </c>
      <c r="C41" s="401" t="inlineStr">
        <is>
          <t>~0.45-0.55</t>
        </is>
      </c>
      <c r="D41" s="380" t="n">
        <v>38.6</v>
      </c>
      <c r="E41" s="401" t="inlineStr">
        <is>
          <t>0.43 eV state</t>
        </is>
      </c>
      <c r="F41" s="401" t="inlineStr">
        <is>
          <t>Near zero</t>
        </is>
      </c>
      <c r="G41" s="401" t="inlineStr"/>
    </row>
    <row r="42" ht="20" customHeight="1">
      <c r="A42" s="392" t="inlineStr">
        <is>
          <t>VH4</t>
        </is>
      </c>
      <c r="B42" s="392" t="inlineStr">
        <is>
          <t>&lt; 0 (slightly)</t>
        </is>
      </c>
      <c r="C42" s="392" t="inlineStr">
        <is>
          <t>~0.45-0.55</t>
        </is>
      </c>
      <c r="D42" s="392" t="inlineStr">
        <is>
          <t>&lt; 0</t>
        </is>
      </c>
      <c r="E42" s="392" t="inlineStr">
        <is>
          <t>---</t>
        </is>
      </c>
      <c r="F42" s="392" t="inlineStr">
        <is>
          <t>Endothermic</t>
        </is>
      </c>
      <c r="G42" s="392" t="inlineStr">
        <is>
          <t>Not favored at ambient P</t>
        </is>
      </c>
    </row>
    <row r="43" ht="20" customHeight="1">
      <c r="A43" s="392" t="inlineStr">
        <is>
          <t>VH5</t>
        </is>
      </c>
      <c r="B43" s="392" t="inlineStr">
        <is>
          <t>&lt; 0 (slightly)</t>
        </is>
      </c>
      <c r="C43" s="392" t="inlineStr">
        <is>
          <t>~0.45-0.55</t>
        </is>
      </c>
      <c r="D43" s="392" t="inlineStr">
        <is>
          <t>&lt; 0</t>
        </is>
      </c>
      <c r="E43" s="392" t="inlineStr">
        <is>
          <t>---</t>
        </is>
      </c>
      <c r="F43" s="392" t="inlineStr">
        <is>
          <t>Endothermic</t>
        </is>
      </c>
      <c r="G43" s="314" t="inlineStr">
        <is>
          <t>Only favored at high H2 pressure (&gt;1 GPa)</t>
        </is>
      </c>
    </row>
    <row r="44" ht="20" customHeight="1">
      <c r="A44" s="404" t="inlineStr">
        <is>
          <t>VH6</t>
        </is>
      </c>
      <c r="B44" s="404" t="inlineStr">
        <is>
          <t>~0</t>
        </is>
      </c>
      <c r="C44" s="404" t="inlineStr">
        <is>
          <t>~0.45-0.55</t>
        </is>
      </c>
      <c r="D44" s="404" t="inlineStr">
        <is>
          <t>~0</t>
        </is>
      </c>
      <c r="E44" s="404" t="inlineStr">
        <is>
          <t>---</t>
        </is>
      </c>
      <c r="F44" s="404" t="inlineStr">
        <is>
          <t>Neutral</t>
        </is>
      </c>
      <c r="G44" s="364" t="inlineStr">
        <is>
          <t>No energy gain. Old EMT prediction was wrong.</t>
        </is>
      </c>
    </row>
    <row r="45" ht="8" customHeight="1"/>
    <row r="46" ht="20" customHeight="1">
      <c r="A46" s="389" t="inlineStr">
        <is>
          <t>VH_n FORMATION ENERGIES AND PRESSURE EFFECTS</t>
        </is>
      </c>
      <c r="B46" s="334" t="n"/>
      <c r="C46" s="334" t="n"/>
      <c r="D46" s="334" t="n"/>
      <c r="E46" s="334" t="n"/>
      <c r="F46" s="334" t="n"/>
      <c r="G46" s="335" t="n"/>
    </row>
    <row r="47" ht="24" customHeight="1">
      <c r="A47" s="28" t="inlineStr">
        <is>
          <t>Condition / Complex</t>
        </is>
      </c>
      <c r="B47" s="28" t="inlineStr">
        <is>
          <t>E_F (eV)</t>
        </is>
      </c>
      <c r="C47" s="28" t="inlineStr">
        <is>
          <t>Delta vs bare V</t>
        </is>
      </c>
      <c r="D47" s="28" t="inlineStr">
        <is>
          <t>Key implication</t>
        </is>
      </c>
    </row>
    <row r="48" ht="18" customHeight="1">
      <c r="A48" s="391" t="inlineStr">
        <is>
          <t>Bare monovacancy V (ambient)</t>
        </is>
      </c>
      <c r="B48" s="393" t="n">
        <v>2</v>
      </c>
      <c r="C48" s="391" t="inlineStr">
        <is>
          <t>---</t>
        </is>
      </c>
      <c r="D48" s="391" t="inlineStr">
        <is>
          <t>Reference</t>
        </is>
      </c>
    </row>
    <row r="49" ht="18" customHeight="1">
      <c r="A49" s="392" t="inlineStr">
        <is>
          <t>VH2 at ambient H2 pressure</t>
        </is>
      </c>
      <c r="B49" s="390" t="n">
        <v>1.51</v>
      </c>
      <c r="C49" s="392" t="inlineStr">
        <is>
          <t>-0.49 eV</t>
        </is>
      </c>
      <c r="D49" s="314" t="inlineStr">
        <is>
          <t>10^7x increase in vacancy density at 300K</t>
        </is>
      </c>
    </row>
    <row r="50" ht="18" customHeight="1">
      <c r="A50" s="391" t="inlineStr">
        <is>
          <t>H2P ~1 GPa: VH3/VH4 transition</t>
        </is>
      </c>
      <c r="B50" s="391" t="inlineStr">
        <is>
          <t>---</t>
        </is>
      </c>
      <c r="C50" s="391" t="inlineStr">
        <is>
          <t>---</t>
        </is>
      </c>
      <c r="D50" s="315" t="inlineStr">
        <is>
          <t>mu_H2 ~0.56 eV -- VH3/VH4 become favorable</t>
        </is>
      </c>
    </row>
    <row r="51" ht="18" customHeight="1">
      <c r="A51" s="392" t="inlineStr">
        <is>
          <t>H2P ~1.7 GPa: SAV onset</t>
        </is>
      </c>
      <c r="B51" s="392" t="inlineStr">
        <is>
          <t>---</t>
        </is>
      </c>
      <c r="C51" s="392" t="inlineStr">
        <is>
          <t>negative</t>
        </is>
      </c>
      <c r="D51" s="314" t="inlineStr">
        <is>
          <t>Superabundant vacancies observed experimentally</t>
        </is>
      </c>
    </row>
    <row r="52" ht="18" customHeight="1">
      <c r="A52" s="391" t="inlineStr">
        <is>
          <t>H2P ~2 GPa: VH5/VH6 dominant</t>
        </is>
      </c>
      <c r="B52" s="391" t="inlineStr">
        <is>
          <t>---</t>
        </is>
      </c>
      <c r="C52" s="391" t="inlineStr">
        <is>
          <t>negative</t>
        </is>
      </c>
      <c r="D52" s="391" t="inlineStr">
        <is>
          <t>VH5 and VH6 become favored complexes</t>
        </is>
      </c>
    </row>
    <row r="53" ht="8" customHeight="1"/>
    <row r="54" ht="20" customHeight="1">
      <c r="A54" s="389" t="inlineStr">
        <is>
          <t>TABLE IV -- Divacancy Binding Energies (positive = favorable)</t>
        </is>
      </c>
      <c r="B54" s="334" t="n"/>
      <c r="C54" s="334" t="n"/>
      <c r="D54" s="334" t="n"/>
      <c r="E54" s="334" t="n"/>
      <c r="F54" s="334" t="n"/>
      <c r="G54" s="335" t="n"/>
    </row>
    <row r="55" ht="18" customHeight="1">
      <c r="A55" s="343" t="inlineStr">
        <is>
          <t>Relaxed Fe lattice. Rigid lattice values also shown for electronic contribution.</t>
        </is>
      </c>
      <c r="B55" s="334" t="n"/>
      <c r="C55" s="334" t="n"/>
      <c r="D55" s="334" t="n"/>
      <c r="E55" s="334" t="n"/>
      <c r="F55" s="334" t="n"/>
      <c r="G55" s="335" t="n"/>
    </row>
    <row r="56" ht="24" customHeight="1">
      <c r="A56" s="28" t="inlineStr">
        <is>
          <t>Reactants to Products</t>
        </is>
      </c>
      <c r="B56" s="28" t="inlineStr">
        <is>
          <t>E_b relaxed (eV)</t>
        </is>
      </c>
      <c r="C56" s="28" t="inlineStr">
        <is>
          <t>E_b rigid (eV)</t>
        </is>
      </c>
      <c r="D56" s="28" t="inlineStr">
        <is>
          <t>Notes</t>
        </is>
      </c>
    </row>
    <row r="57" ht="18" customHeight="1">
      <c r="A57" s="374" t="inlineStr">
        <is>
          <t>2V -&gt; V2&lt;100&gt;</t>
        </is>
      </c>
      <c r="B57" s="358" t="n">
        <v>0.15</v>
      </c>
      <c r="C57" s="358" t="n">
        <v>0.21</v>
      </c>
      <c r="D57" s="374" t="inlineStr">
        <is>
          <t>Favorable compact clustering in bare Fe</t>
        </is>
      </c>
    </row>
    <row r="58" ht="18" customHeight="1">
      <c r="A58" s="374" t="inlineStr">
        <is>
          <t>2V -&gt; V2&lt;111&gt;</t>
        </is>
      </c>
      <c r="B58" s="358" t="n">
        <v>0.08</v>
      </c>
      <c r="C58" s="358" t="n">
        <v>0.19</v>
      </c>
      <c r="D58" s="374" t="inlineStr">
        <is>
          <t>Less favorable than &lt;100&gt;</t>
        </is>
      </c>
    </row>
    <row r="59" ht="18" customHeight="1">
      <c r="A59" s="404" t="inlineStr">
        <is>
          <t>2 VH2 -&gt; V2H4&lt;100&gt;</t>
        </is>
      </c>
      <c r="B59" s="382" t="n">
        <v>-0.06</v>
      </c>
      <c r="C59" s="382" t="n">
        <v>-0.06</v>
      </c>
      <c r="D59" s="404" t="inlineStr">
        <is>
          <t>H SUPPRESSES compact &lt;100&gt; clustering</t>
        </is>
      </c>
    </row>
    <row r="60" ht="18" customHeight="1">
      <c r="A60" s="374" t="inlineStr">
        <is>
          <t>2 VH2 -&gt; V2H4&lt;111&gt;</t>
        </is>
      </c>
      <c r="B60" s="358" t="n">
        <v>0.18</v>
      </c>
      <c r="C60" s="358" t="n">
        <v>0.27</v>
      </c>
      <c r="D60" s="326" t="inlineStr">
        <is>
          <t>H PROMOTES &lt;111&gt; linear chains -- explains fracture planes</t>
        </is>
      </c>
    </row>
    <row r="61" ht="18" customHeight="1">
      <c r="A61" s="404" t="inlineStr">
        <is>
          <t>2 VH6 -&gt; V2H12&lt;100&gt;</t>
        </is>
      </c>
      <c r="B61" s="382" t="n">
        <v>-2.6</v>
      </c>
      <c r="C61" s="404" t="inlineStr">
        <is>
          <t>---</t>
        </is>
      </c>
      <c r="D61" s="364" t="inlineStr">
        <is>
          <t>Highly unfavorable -- strong H-H repulsion</t>
        </is>
      </c>
    </row>
    <row r="62" ht="18" customHeight="1">
      <c r="A62" s="404" t="inlineStr">
        <is>
          <t>2 VH6 -&gt; V2H11&lt;100&gt; + H_int</t>
        </is>
      </c>
      <c r="B62" s="382" t="n">
        <v>-0.57</v>
      </c>
      <c r="C62" s="404" t="inlineStr">
        <is>
          <t>---</t>
        </is>
      </c>
      <c r="D62" s="404" t="inlineStr">
        <is>
          <t>Still unfavorable</t>
        </is>
      </c>
    </row>
    <row r="63" ht="8" customHeight="1"/>
    <row r="64" ht="20" customHeight="1">
      <c r="A64" s="366" t="inlineStr">
        <is>
          <t>APPLICABILITY TO HASTELLOY N MODEL</t>
        </is>
      </c>
      <c r="B64" s="334" t="n"/>
      <c r="C64" s="334" t="n"/>
      <c r="D64" s="334" t="n"/>
      <c r="E64" s="334" t="n"/>
      <c r="F64" s="334" t="n"/>
      <c r="G64" s="335" t="n"/>
    </row>
    <row r="65" ht="36" customHeight="1">
      <c r="A65" s="367" t="inlineStr">
        <is>
          <t>This paper is bcc alpha-Fe. Hastelloy N is fcc Ni-base. Direct use of 0.60 eV is incorrect.  Use for: (1) DFT methodology reference; (2) understanding H-vacancy physics; (3) validating that your Ni-specific value (~0.43 eV) is physically plausible (Fe 0.60 eV &gt; Ni 0.43 eV -- consistent with weaker H-Ni bond vs H-Fe bond).</t>
        </is>
      </c>
      <c r="B65" s="334" t="n"/>
      <c r="C65" s="334" t="n"/>
      <c r="D65" s="334" t="n"/>
      <c r="E65" s="334" t="n"/>
      <c r="F65" s="334" t="n"/>
      <c r="G65" s="335" t="n"/>
    </row>
    <row r="66" ht="24" customHeight="1">
      <c r="A66" s="303" t="inlineStr">
        <is>
          <t>Parameter</t>
        </is>
      </c>
      <c r="B66" s="303" t="inlineStr">
        <is>
          <t>Fe (this paper)</t>
        </is>
      </c>
      <c r="C66" s="303" t="inlineStr">
        <is>
          <t>Ni equivalent</t>
        </is>
      </c>
      <c r="D66" s="303" t="inlineStr">
        <is>
          <t>Source for Ni</t>
        </is>
      </c>
      <c r="E66" s="303" t="inlineStr">
        <is>
          <t>Use in model?</t>
        </is>
      </c>
    </row>
    <row r="67" ht="20" customHeight="1">
      <c r="A67" s="368" t="inlineStr">
        <is>
          <t>Vacancy binding energy VH1/VH2</t>
        </is>
      </c>
      <c r="B67" s="368" t="inlineStr">
        <is>
          <t>0.60 eV (Fe)</t>
        </is>
      </c>
      <c r="C67" s="368" t="inlineStr">
        <is>
          <t>~0.43 eV (Ni)</t>
        </is>
      </c>
      <c r="D67" s="368" t="inlineStr">
        <is>
          <t>Ni-specific DFT (separate paper needed)</t>
        </is>
      </c>
      <c r="E67" s="368" t="inlineStr">
        <is>
          <t>Use Ni value only</t>
        </is>
      </c>
    </row>
    <row r="68" ht="20" customHeight="1">
      <c r="A68" s="369" t="inlineStr">
        <is>
          <t>VH2 as major complex at ambient P</t>
        </is>
      </c>
      <c r="B68" s="369" t="inlineStr">
        <is>
          <t>Confirmed for Fe</t>
        </is>
      </c>
      <c r="C68" s="369" t="inlineStr">
        <is>
          <t>Likely analogous for Ni</t>
        </is>
      </c>
      <c r="D68" s="369" t="inlineStr">
        <is>
          <t>Analogous fcc DFT needed</t>
        </is>
      </c>
      <c r="E68" s="369" t="inlineStr">
        <is>
          <t>Physical picture transferable</t>
        </is>
      </c>
    </row>
    <row r="69" ht="20" customHeight="1">
      <c r="A69" s="368" t="inlineStr">
        <is>
          <t>Methodology (TDS calibration)</t>
        </is>
      </c>
      <c r="B69" s="368" t="inlineStr">
        <is>
          <t>Standard DFT supercell approach</t>
        </is>
      </c>
      <c r="C69" s="368" t="inlineStr">
        <is>
          <t>Same approach valid</t>
        </is>
      </c>
      <c r="D69" s="368" t="inlineStr">
        <is>
          <t>Applied in Young 1997 also</t>
        </is>
      </c>
      <c r="E69" s="368" t="inlineStr">
        <is>
          <t>Methodology fully transferable</t>
        </is>
      </c>
    </row>
    <row r="70" ht="20" customHeight="1">
      <c r="A70" s="369" t="inlineStr">
        <is>
          <t>ZPE corrections</t>
        </is>
      </c>
      <c r="B70" s="369" t="inlineStr">
        <is>
          <t>0.14-0.20 eV/H range</t>
        </is>
      </c>
      <c r="C70" s="369" t="inlineStr">
        <is>
          <t>Similar range for Ni</t>
        </is>
      </c>
      <c r="D70" s="369" t="inlineStr">
        <is>
          <t>Verify with Ni DFT</t>
        </is>
      </c>
      <c r="E70" s="369" t="inlineStr">
        <is>
          <t>Conceptual reference</t>
        </is>
      </c>
    </row>
    <row r="71" ht="12" customHeight="1"/>
  </sheetData>
  <mergeCells count="14">
    <mergeCell ref="A36:G36"/>
    <mergeCell ref="A1:G1"/>
    <mergeCell ref="A17:G17"/>
    <mergeCell ref="A3:G3"/>
    <mergeCell ref="A55:G55"/>
    <mergeCell ref="A46:G46"/>
    <mergeCell ref="A24:G24"/>
    <mergeCell ref="A2:G2"/>
    <mergeCell ref="A54:G54"/>
    <mergeCell ref="A64:G64"/>
    <mergeCell ref="A25:G25"/>
    <mergeCell ref="A65:G65"/>
    <mergeCell ref="A5:G5"/>
    <mergeCell ref="A37:G37"/>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49"/>
  <sheetViews>
    <sheetView showGridLines="0" workbookViewId="0">
      <selection activeCell="A1" sqref="A1"/>
    </sheetView>
  </sheetViews>
  <sheetFormatPr baseColWidth="8" defaultRowHeight="15"/>
  <cols>
    <col width="28" customWidth="1" min="1" max="1"/>
    <col width="18" customWidth="1" min="2" max="2"/>
    <col width="16" customWidth="1" min="3" max="3"/>
    <col width="16" customWidth="1" min="4" max="4"/>
    <col width="16" customWidth="1" min="5" max="5"/>
    <col width="16" customWidth="1" min="6" max="6"/>
    <col width="16" customWidth="1" min="7" max="7"/>
    <col width="28" customWidth="1" min="8" max="8"/>
  </cols>
  <sheetData>
    <row r="1" ht="26" customHeight="1">
      <c r="A1" s="388" t="inlineStr">
        <is>
          <t>Jain et al. 2026 -- Raw Data Extraction</t>
        </is>
      </c>
      <c r="B1" s="332" t="n"/>
      <c r="C1" s="332" t="n"/>
      <c r="D1" s="332" t="n"/>
      <c r="E1" s="332" t="n"/>
      <c r="F1" s="332" t="n"/>
      <c r="G1" s="332" t="n"/>
      <c r="H1" s="333" t="n"/>
    </row>
    <row r="2" ht="28" customHeight="1">
      <c r="A2" s="284" t="inlineStr">
        <is>
          <t>Jain B, Olleak A, He J, Chaurasia A, Di Stefano D. "First-principles study of hydrogen diffusion in polycrystalline Nickel." arXiv:2601.05917v1 (January 12, 2026).  Institution: Ansys UK Ltd (Cambridge) and Ansys Inc (Canonsburg, PA).  Framework: DFT (atomistic) --&gt; KMC (mesoscale) --&gt; FEM (continuum).</t>
        </is>
      </c>
      <c r="B2" s="334" t="n"/>
      <c r="C2" s="334" t="n"/>
      <c r="D2" s="334" t="n"/>
      <c r="E2" s="334" t="n"/>
      <c r="F2" s="334" t="n"/>
      <c r="G2" s="334" t="n"/>
      <c r="H2" s="335" t="n"/>
    </row>
    <row r="3" ht="36" customHeight="1">
      <c r="A3" s="337" t="inlineStr">
        <is>
          <t>KEY DATA FOR MODEL: (1) Sigma3 GB acts as diffusion BARRIER (~0.55 eV crossing energy). (2) Sigma5 GB acts as fast pathway AND trap (in-plane D &gt;&gt; bulk D). (3) Grain size dependent Deff at room T: 10^-11 to 10^-13 m2/s over 0.1-100 um. (4) Bulk Ni: Ea = 0.37 eV -- directly usable for vacancy binding reference.</t>
        </is>
      </c>
      <c r="B3" s="334" t="n"/>
      <c r="C3" s="334" t="n"/>
      <c r="D3" s="334" t="n"/>
      <c r="E3" s="334" t="n"/>
      <c r="F3" s="334" t="n"/>
      <c r="G3" s="334" t="n"/>
      <c r="H3" s="335" t="n"/>
    </row>
    <row r="4" ht="8" customHeight="1"/>
    <row r="5" ht="20" customHeight="1">
      <c r="A5" s="389" t="inlineStr">
        <is>
          <t>ATOMISTIC DFT INPUT -- Bulk Ni (Di Stefano et al. 2015, Ref [27])</t>
        </is>
      </c>
      <c r="B5" s="334" t="n"/>
      <c r="C5" s="334" t="n"/>
      <c r="D5" s="334" t="n"/>
      <c r="E5" s="334" t="n"/>
      <c r="F5" s="334" t="n"/>
      <c r="G5" s="334" t="n"/>
      <c r="H5" s="335" t="n"/>
    </row>
    <row r="6" ht="24" customHeight="1">
      <c r="A6" s="28" t="inlineStr">
        <is>
          <t>Parameter</t>
        </is>
      </c>
      <c r="B6" s="28" t="inlineStr">
        <is>
          <t>Value</t>
        </is>
      </c>
      <c r="C6" s="28" t="inlineStr">
        <is>
          <t>Method</t>
        </is>
      </c>
      <c r="D6" s="28" t="inlineStr">
        <is>
          <t>Notes</t>
        </is>
      </c>
    </row>
    <row r="7" ht="20" customHeight="1">
      <c r="A7" s="391" t="inlineStr">
        <is>
          <t>Activation energy Ea (bulk Ni)</t>
        </is>
      </c>
      <c r="B7" s="391" t="inlineStr">
        <is>
          <t>0.37 eV = 35.7 kJ/mol</t>
        </is>
      </c>
      <c r="C7" s="391" t="inlineStr">
        <is>
          <t>DFT GGA-PBE + quantum TST</t>
        </is>
      </c>
      <c r="D7" s="315" t="inlineStr">
        <is>
          <t>H hopping through octahedral sites in FCC Ni. ZPE + tunneling included.</t>
        </is>
      </c>
    </row>
    <row r="8" ht="20" customHeight="1">
      <c r="A8" s="392" t="inlineStr">
        <is>
          <t>Pre-exponential factor nu_e</t>
        </is>
      </c>
      <c r="B8" s="392" t="inlineStr">
        <is>
          <t>5.48e12 s^-1</t>
        </is>
      </c>
      <c r="C8" s="392" t="inlineStr">
        <is>
          <t>Semiclassical TST</t>
        </is>
      </c>
      <c r="D8" s="314" t="inlineStr">
        <is>
          <t>Attempt frequency for octahedral-octahedral hop</t>
        </is>
      </c>
    </row>
    <row r="9" ht="20" customHeight="1">
      <c r="A9" s="391" t="inlineStr">
        <is>
          <t>Interstitial site type</t>
        </is>
      </c>
      <c r="B9" s="391" t="inlineStr">
        <is>
          <t>Octahedral (O-site)</t>
        </is>
      </c>
      <c r="C9" s="391" t="inlineStr">
        <is>
          <t>FCC Ni</t>
        </is>
      </c>
      <c r="D9" s="391" t="inlineStr">
        <is>
          <t>H diffuses through O-sites in FCC Ni</t>
        </is>
      </c>
    </row>
    <row r="10" ht="20" customHeight="1">
      <c r="A10" s="392" t="inlineStr">
        <is>
          <t>Functional</t>
        </is>
      </c>
      <c r="B10" s="392" t="inlineStr">
        <is>
          <t>GGA-PBE</t>
        </is>
      </c>
      <c r="C10" s="392" t="inlineStr">
        <is>
          <t>Projector-augmented wave</t>
        </is>
      </c>
      <c r="D10" s="392" t="inlineStr">
        <is>
          <t>Standard for H in metals</t>
        </is>
      </c>
    </row>
    <row r="11" ht="20" customHeight="1">
      <c r="A11" s="391" t="inlineStr">
        <is>
          <t>ZPE treatment</t>
        </is>
      </c>
      <c r="B11" s="391" t="inlineStr">
        <is>
          <t>Semiclassical TST (ZPE + tunneling)</t>
        </is>
      </c>
      <c r="C11" s="391" t="inlineStr">
        <is>
          <t>--</t>
        </is>
      </c>
      <c r="D11" s="315" t="inlineStr">
        <is>
          <t>Quantum effects included via transition-state formalism</t>
        </is>
      </c>
    </row>
    <row r="12" ht="8" customHeight="1"/>
    <row r="13" ht="20" customHeight="1">
      <c r="A13" s="389" t="inlineStr">
        <is>
          <t>GRAIN BOUNDARY ENERGETICS -- (Di Stefano et al. 2016, Ref [28])</t>
        </is>
      </c>
      <c r="B13" s="334" t="n"/>
      <c r="C13" s="334" t="n"/>
      <c r="D13" s="334" t="n"/>
      <c r="E13" s="334" t="n"/>
      <c r="F13" s="334" t="n"/>
      <c r="G13" s="334" t="n"/>
      <c r="H13" s="335" t="n"/>
    </row>
    <row r="14" ht="18" customHeight="1">
      <c r="A14" s="343" t="inlineStr">
        <is>
          <t>Two representative CSL boundaries studied. These are the primary source for GB binding energy and transport parameters relevant to your trapping model.</t>
        </is>
      </c>
      <c r="B14" s="334" t="n"/>
      <c r="C14" s="334" t="n"/>
      <c r="D14" s="334" t="n"/>
      <c r="E14" s="334" t="n"/>
      <c r="F14" s="334" t="n"/>
      <c r="G14" s="334" t="n"/>
      <c r="H14" s="335" t="n"/>
    </row>
    <row r="15" ht="28" customHeight="1">
      <c r="A15" s="28" t="inlineStr">
        <is>
          <t>GB Type</t>
        </is>
      </c>
      <c r="B15" s="28" t="inlineStr">
        <is>
          <t>Structure</t>
        </is>
      </c>
      <c r="C15" s="28" t="inlineStr">
        <is>
          <t>Crossing barrier (eV)</t>
        </is>
      </c>
      <c r="D15" s="28" t="inlineStr">
        <is>
          <t>Entry barrier (eV)</t>
        </is>
      </c>
      <c r="E15" s="28" t="inlineStr">
        <is>
          <t>Escape barrier (eV)</t>
        </is>
      </c>
      <c r="F15" s="28" t="inlineStr">
        <is>
          <t>In-plane migration (eV)</t>
        </is>
      </c>
      <c r="G15" s="28" t="inlineStr">
        <is>
          <t>Role</t>
        </is>
      </c>
      <c r="H15" s="28" t="inlineStr">
        <is>
          <t>Notes</t>
        </is>
      </c>
    </row>
    <row r="16" ht="24" customHeight="1">
      <c r="A16" s="374" t="inlineStr">
        <is>
          <t>Sigma3 (111)[110]</t>
        </is>
      </c>
      <c r="B16" s="374" t="inlineStr">
        <is>
          <t>Close-packed/coherent</t>
        </is>
      </c>
      <c r="C16" s="374" t="inlineStr">
        <is>
          <t>~0.55 eV</t>
        </is>
      </c>
      <c r="D16" s="374" t="inlineStr">
        <is>
          <t>---</t>
        </is>
      </c>
      <c r="E16" s="374" t="inlineStr">
        <is>
          <t>---</t>
        </is>
      </c>
      <c r="F16" s="374" t="inlineStr">
        <is>
          <t>~0.55 eV (same -- no trapping)</t>
        </is>
      </c>
      <c r="G16" s="374" t="inlineStr">
        <is>
          <t>2D diffusion BARRIER</t>
        </is>
      </c>
      <c r="H16" s="326" t="inlineStr">
        <is>
          <t>Negligible trapping. Crossing costs energy. Special/twin boundary.</t>
        </is>
      </c>
    </row>
    <row r="17" ht="24" customHeight="1">
      <c r="A17" s="401" t="inlineStr">
        <is>
          <t>Sigma5 (210)[001]</t>
        </is>
      </c>
      <c r="B17" s="401" t="inlineStr">
        <is>
          <t>Disordered/open</t>
        </is>
      </c>
      <c r="C17" s="401" t="inlineStr">
        <is>
          <t>---</t>
        </is>
      </c>
      <c r="D17" s="401" t="inlineStr">
        <is>
          <t>~0.06 eV</t>
        </is>
      </c>
      <c r="E17" s="401" t="inlineStr">
        <is>
          <t>~0.26 eV</t>
        </is>
      </c>
      <c r="F17" s="401" t="inlineStr">
        <is>
          <t>~0.27 eV (&lt; bulk 0.37 eV)</t>
        </is>
      </c>
      <c r="G17" s="401" t="inlineStr">
        <is>
          <t>2D trap + fast pathway</t>
        </is>
      </c>
      <c r="H17" s="321" t="inlineStr">
        <is>
          <t>Contains open interstitial sites. In-plane D &gt;&gt; bulk D.</t>
        </is>
      </c>
    </row>
    <row r="18" ht="36" customHeight="1">
      <c r="A18" s="322" t="inlineStr">
        <is>
          <t>Sigma3 vs Sigma5 summary for trapping model: LAGB/twin boundaries (Sigma3-type) = barriers, do NOT trap. HAGB random boundaries (Sigma5-type) = traps AND fast pathways. GB binding energy for Sigma5 H = escape barrier - bulk barrier = 0.37 - 0.27 = ~0.10 eV (in-plane migration). Entry/escape asymmetry: delta_E = 0.26 - 0.06 = 0.20 eV = effective trapping barrier.</t>
        </is>
      </c>
      <c r="B18" s="334" t="n"/>
      <c r="C18" s="334" t="n"/>
      <c r="D18" s="334" t="n"/>
      <c r="E18" s="334" t="n"/>
      <c r="F18" s="334" t="n"/>
      <c r="G18" s="334" t="n"/>
      <c r="H18" s="335" t="n"/>
    </row>
    <row r="19" ht="8" customHeight="1"/>
    <row r="20" ht="20" customHeight="1">
      <c r="A20" s="389" t="inlineStr">
        <is>
          <t>RVE DIMENSIONS (Table I) -- FEM Continuum Model</t>
        </is>
      </c>
      <c r="B20" s="334" t="n"/>
      <c r="C20" s="334" t="n"/>
      <c r="D20" s="334" t="n"/>
      <c r="E20" s="334" t="n"/>
      <c r="F20" s="334" t="n"/>
      <c r="G20" s="334" t="n"/>
      <c r="H20" s="335" t="n"/>
    </row>
    <row r="21" ht="24" customHeight="1">
      <c r="A21" s="28" t="inlineStr">
        <is>
          <t>Grain Size (um)</t>
        </is>
      </c>
      <c r="B21" s="28" t="inlineStr">
        <is>
          <t>RVE Size (um)</t>
        </is>
      </c>
      <c r="C21" s="28" t="inlineStr">
        <is>
          <t>GB Thickness (um)</t>
        </is>
      </c>
      <c r="D21" s="28" t="inlineStr">
        <is>
          <t>Grain count (approx)</t>
        </is>
      </c>
    </row>
    <row r="22" ht="18" customHeight="1">
      <c r="A22" s="393" t="n">
        <v>0.1</v>
      </c>
      <c r="B22" s="391" t="inlineStr">
        <is>
          <t>1 x 1</t>
        </is>
      </c>
      <c r="C22" s="393" t="n">
        <v>0.05</v>
      </c>
      <c r="D22" s="391" t="inlineStr">
        <is>
          <t>40-120</t>
        </is>
      </c>
    </row>
    <row r="23" ht="18" customHeight="1">
      <c r="A23" s="390" t="n">
        <v>0.4</v>
      </c>
      <c r="B23" s="392" t="inlineStr">
        <is>
          <t>4 x 4</t>
        </is>
      </c>
      <c r="C23" s="390" t="n">
        <v>0.05</v>
      </c>
      <c r="D23" s="392" t="inlineStr">
        <is>
          <t>40-120</t>
        </is>
      </c>
    </row>
    <row r="24" ht="18" customHeight="1">
      <c r="A24" s="393" t="n">
        <v>0.7</v>
      </c>
      <c r="B24" s="391" t="inlineStr">
        <is>
          <t>5 x 5</t>
        </is>
      </c>
      <c r="C24" s="393" t="n">
        <v>0.05</v>
      </c>
      <c r="D24" s="391" t="inlineStr">
        <is>
          <t>40-120</t>
        </is>
      </c>
    </row>
    <row r="25" ht="18" customHeight="1">
      <c r="A25" s="390" t="n">
        <v>1</v>
      </c>
      <c r="B25" s="392" t="inlineStr">
        <is>
          <t>10 x 10</t>
        </is>
      </c>
      <c r="C25" s="390" t="n">
        <v>0.05</v>
      </c>
      <c r="D25" s="392" t="inlineStr">
        <is>
          <t>40-120</t>
        </is>
      </c>
    </row>
    <row r="26" ht="18" customHeight="1">
      <c r="A26" s="393" t="n">
        <v>2.5</v>
      </c>
      <c r="B26" s="391" t="inlineStr">
        <is>
          <t>15 x 15</t>
        </is>
      </c>
      <c r="C26" s="393" t="n">
        <v>0.05</v>
      </c>
      <c r="D26" s="391" t="inlineStr">
        <is>
          <t>40-120</t>
        </is>
      </c>
    </row>
    <row r="27" ht="18" customHeight="1">
      <c r="A27" s="390" t="n">
        <v>5</v>
      </c>
      <c r="B27" s="392" t="inlineStr">
        <is>
          <t>30 x 30</t>
        </is>
      </c>
      <c r="C27" s="390" t="n">
        <v>0.05</v>
      </c>
      <c r="D27" s="392" t="inlineStr">
        <is>
          <t>40-120</t>
        </is>
      </c>
    </row>
    <row r="28" ht="18" customHeight="1">
      <c r="A28" s="393" t="n">
        <v>10</v>
      </c>
      <c r="B28" s="391" t="inlineStr">
        <is>
          <t>40 x 40</t>
        </is>
      </c>
      <c r="C28" s="393" t="n">
        <v>0.05</v>
      </c>
      <c r="D28" s="391" t="inlineStr">
        <is>
          <t>40-120</t>
        </is>
      </c>
    </row>
    <row r="29" ht="18" customHeight="1">
      <c r="A29" s="390" t="n">
        <v>100</v>
      </c>
      <c r="B29" s="392" t="inlineStr">
        <is>
          <t>600 x 600</t>
        </is>
      </c>
      <c r="C29" s="390" t="n">
        <v>0.6</v>
      </c>
      <c r="D29" s="392" t="inlineStr">
        <is>
          <t>40-120</t>
        </is>
      </c>
    </row>
    <row r="30" ht="8" customHeight="1"/>
    <row r="31" ht="20" customHeight="1">
      <c r="A31" s="389" t="inlineStr">
        <is>
          <t>EFFECTIVE DIFFUSIVITY RESULTS -- Room Temperature (Fig. 9)</t>
        </is>
      </c>
      <c r="B31" s="334" t="n"/>
      <c r="C31" s="334" t="n"/>
      <c r="D31" s="334" t="n"/>
      <c r="E31" s="334" t="n"/>
      <c r="F31" s="334" t="n"/>
      <c r="G31" s="334" t="n"/>
      <c r="H31" s="335" t="n"/>
    </row>
    <row r="32" ht="18" customHeight="1">
      <c r="A32" s="343" t="inlineStr">
        <is>
          <t>Compared against Oudriss et al. 2012 experimental permeation data for polycrystalline Ni. Good agreement for 0.1-10 um grain sizes. Model overshoots at 100 um.</t>
        </is>
      </c>
      <c r="B32" s="334" t="n"/>
      <c r="C32" s="334" t="n"/>
      <c r="D32" s="334" t="n"/>
      <c r="E32" s="334" t="n"/>
      <c r="F32" s="334" t="n"/>
      <c r="G32" s="334" t="n"/>
      <c r="H32" s="335" t="n"/>
    </row>
    <row r="33" ht="24" customHeight="1">
      <c r="A33" s="28" t="inlineStr">
        <is>
          <t>Configuration</t>
        </is>
      </c>
      <c r="B33" s="28" t="inlineStr">
        <is>
          <t>Grain Size Range (um)</t>
        </is>
      </c>
      <c r="C33" s="28" t="inlineStr">
        <is>
          <t>Deff range (m^2/s)</t>
        </is>
      </c>
      <c r="D33" s="28" t="inlineStr">
        <is>
          <t>vs experiment</t>
        </is>
      </c>
      <c r="E33" s="28" t="inlineStr">
        <is>
          <t>Notes</t>
        </is>
      </c>
    </row>
    <row r="34" ht="18" customHeight="1">
      <c r="A34" s="391" t="inlineStr">
        <is>
          <t>100% Sigma5 (Sigma5_1.0)</t>
        </is>
      </c>
      <c r="B34" s="391" t="inlineStr">
        <is>
          <t>0.1-100 um</t>
        </is>
      </c>
      <c r="C34" s="391" t="inlineStr">
        <is>
          <t>10^-11 to 10^-13</t>
        </is>
      </c>
      <c r="D34" s="391" t="inlineStr">
        <is>
          <t>Good for 0.1-10 um</t>
        </is>
      </c>
      <c r="E34" s="391" t="inlineStr">
        <is>
          <t>Decreases with grain size</t>
        </is>
      </c>
    </row>
    <row r="35" ht="18" customHeight="1">
      <c r="A35" s="392" t="inlineStr">
        <is>
          <t>100% Sigma5 thick GB (100 um)</t>
        </is>
      </c>
      <c r="B35" s="392" t="inlineStr">
        <is>
          <t>100 um</t>
        </is>
      </c>
      <c r="C35" s="392" t="inlineStr">
        <is>
          <t>~10^-13 (near bulk)</t>
        </is>
      </c>
      <c r="D35" s="392" t="inlineStr">
        <is>
          <t>Slightly exceeds exp.</t>
        </is>
      </c>
      <c r="E35" s="392" t="inlineStr">
        <is>
          <t>Approaches bulk Dbulk</t>
        </is>
      </c>
    </row>
    <row r="36" ht="18" customHeight="1">
      <c r="A36" s="391" t="inlineStr">
        <is>
          <t>50% Sigma5 + 50% Sigma3</t>
        </is>
      </c>
      <c r="B36" s="391" t="inlineStr">
        <is>
          <t>0.1-10 um</t>
        </is>
      </c>
      <c r="C36" s="391" t="inlineStr">
        <is>
          <t>Intermediate</t>
        </is>
      </c>
      <c r="D36" s="391" t="inlineStr">
        <is>
          <t>--</t>
        </is>
      </c>
      <c r="E36" s="391" t="inlineStr">
        <is>
          <t>Between pure Sigma5 and bulk</t>
        </is>
      </c>
    </row>
    <row r="37" ht="18" customHeight="1">
      <c r="A37" s="392" t="inlineStr">
        <is>
          <t>Bulk Ni (perfect crystal)</t>
        </is>
      </c>
      <c r="B37" s="392" t="inlineStr">
        <is>
          <t>N/A</t>
        </is>
      </c>
      <c r="C37" s="392" t="inlineStr">
        <is>
          <t>~1-2x10^-14 (300K)</t>
        </is>
      </c>
      <c r="D37" s="392" t="inlineStr">
        <is>
          <t>Reference</t>
        </is>
      </c>
      <c r="E37" s="392" t="inlineStr">
        <is>
          <t>D_bulk = nu_e*l^2*exp(-Ea/kT)</t>
        </is>
      </c>
    </row>
    <row r="38" ht="8" customHeight="1"/>
    <row r="39" ht="20" customHeight="1">
      <c r="A39" s="389" t="inlineStr">
        <is>
          <t>KEY QUANTITATIVE FINDINGS</t>
        </is>
      </c>
      <c r="B39" s="334" t="n"/>
      <c r="C39" s="334" t="n"/>
      <c r="D39" s="334" t="n"/>
      <c r="E39" s="334" t="n"/>
      <c r="F39" s="334" t="n"/>
      <c r="G39" s="334" t="n"/>
      <c r="H39" s="335" t="n"/>
    </row>
    <row r="40" ht="24" customHeight="1">
      <c r="A40" s="28" t="inlineStr">
        <is>
          <t>Finding</t>
        </is>
      </c>
      <c r="B40" s="28" t="inlineStr">
        <is>
          <t>Quantitative value</t>
        </is>
      </c>
      <c r="C40" s="28" t="inlineStr">
        <is>
          <t>Physical interpretation</t>
        </is>
      </c>
    </row>
    <row r="41" ht="18" customHeight="1">
      <c r="A41" s="315" t="inlineStr">
        <is>
          <t>Rule-of-Mixture underpredicts Sigma5 Deff</t>
        </is>
      </c>
      <c r="B41" s="391" t="inlineStr">
        <is>
          <t>Up to 2 orders of magnitude</t>
        </is>
      </c>
      <c r="C41" s="315" t="inlineStr">
        <is>
          <t>Trapping/segregation physics missing from simple RoM</t>
        </is>
      </c>
    </row>
    <row r="42" ht="18" customHeight="1">
      <c r="A42" s="314" t="inlineStr">
        <is>
          <t>When trapping removed from KMC (equalized probabilities)</t>
        </is>
      </c>
      <c r="B42" s="392" t="inlineStr">
        <is>
          <t>KMC converges to RoM</t>
        </is>
      </c>
      <c r="C42" s="392" t="inlineStr">
        <is>
          <t>Confirms segregation drives enhancement</t>
        </is>
      </c>
    </row>
    <row r="43" ht="18" customHeight="1">
      <c r="A43" s="391" t="inlineStr">
        <is>
          <t>KMC bulk Ni convergence vs TST</t>
        </is>
      </c>
      <c r="B43" s="391" t="inlineStr">
        <is>
          <t>&lt;6.5% deviation; &lt;3% stat. uncertainty</t>
        </is>
      </c>
      <c r="C43" s="391" t="inlineStr">
        <is>
          <t>500 trajectories, 10^6 steps each</t>
        </is>
      </c>
    </row>
    <row r="44" ht="18" customHeight="1">
      <c r="A44" s="392" t="inlineStr">
        <is>
          <t>In-plane migration in Sigma5 vs bulk</t>
        </is>
      </c>
      <c r="B44" s="392" t="inlineStr">
        <is>
          <t>~0.27 eV vs 0.37 eV bulk</t>
        </is>
      </c>
      <c r="C44" s="314" t="inlineStr">
        <is>
          <t>10 eV/mol lower barrier -- significant D enhancement</t>
        </is>
      </c>
    </row>
    <row r="45" ht="18" customHeight="1">
      <c r="A45" s="315" t="inlineStr">
        <is>
          <t>Sigma5 Deff increases as grain size decreases</t>
        </is>
      </c>
      <c r="B45" s="391" t="inlineStr">
        <is>
          <t>10x finer grains -&gt; higher Deff</t>
        </is>
      </c>
      <c r="C45" s="315" t="inlineStr">
        <is>
          <t>More Sigma5 GB volume fraction at small grain size</t>
        </is>
      </c>
    </row>
    <row r="46" ht="18" customHeight="1">
      <c r="A46" s="314" t="inlineStr">
        <is>
          <t>Sigma3 fraction reduces Deff significantly</t>
        </is>
      </c>
      <c r="B46" s="314" t="inlineStr">
        <is>
          <t>50% Sigma3 brings Deff halfway to bulk limit</t>
        </is>
      </c>
      <c r="C46" s="314" t="inlineStr">
        <is>
          <t>Consistent with GB engineering literature</t>
        </is>
      </c>
    </row>
    <row r="47" ht="8" customHeight="1"/>
    <row r="48" ht="20" customHeight="1">
      <c r="A48" s="389" t="inlineStr">
        <is>
          <t>RELEVANCE TO HASTELLOY N MODEL</t>
        </is>
      </c>
      <c r="B48" s="334" t="n"/>
      <c r="C48" s="334" t="n"/>
      <c r="D48" s="334" t="n"/>
      <c r="E48" s="334" t="n"/>
      <c r="F48" s="334" t="n"/>
      <c r="G48" s="334" t="n"/>
      <c r="H48" s="335" t="n"/>
    </row>
    <row r="49" ht="54" customHeight="1">
      <c r="A49" s="337" t="inlineStr">
        <is>
          <t>Direct connections to your model: (1) Ea = 0.37 eV for bulk Ni -- use as reference for H migration in Hastelloy N matrix. (2) Sigma5 GB trapping: in-plane migration 0.27 eV, escape 0.26 eV -- sets GB binding energy ~0.10 eV. (3) Sigma3 (coherent twin / LAGB-equivalent) acts as barrier at 0.55 eV -- supports include_gb_trapping=False for special boundary-dominated Hastelloy N. (4) Grain size 50-150 um for solution-annealed Has-N (Zhu 2021) -&gt; use Sigma5 Deff at 100 um regime for polycrystal effective D. (5) DFT+KMC+FEM hierarchy directly analogous to your L1-L6 model.</t>
        </is>
      </c>
      <c r="B49" s="334" t="n"/>
      <c r="C49" s="334" t="n"/>
      <c r="D49" s="334" t="n"/>
      <c r="E49" s="334" t="n"/>
      <c r="F49" s="334" t="n"/>
      <c r="G49" s="334" t="n"/>
      <c r="H49" s="335" t="n"/>
    </row>
    <row r="50" ht="12" customHeight="1"/>
  </sheetData>
  <mergeCells count="13">
    <mergeCell ref="A18:H18"/>
    <mergeCell ref="A1:H1"/>
    <mergeCell ref="A48:H48"/>
    <mergeCell ref="A3:H3"/>
    <mergeCell ref="A39:H39"/>
    <mergeCell ref="A20:H20"/>
    <mergeCell ref="A2:H2"/>
    <mergeCell ref="A13:H13"/>
    <mergeCell ref="A14:H14"/>
    <mergeCell ref="A49:H49"/>
    <mergeCell ref="A5:H5"/>
    <mergeCell ref="A32:H32"/>
    <mergeCell ref="A31:H3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71"/>
  <sheetViews>
    <sheetView showGridLines="0" workbookViewId="0">
      <selection activeCell="A1" sqref="A1"/>
    </sheetView>
  </sheetViews>
  <sheetFormatPr baseColWidth="8" defaultRowHeight="15"/>
  <cols>
    <col width="28" customWidth="1" min="1" max="1"/>
    <col width="18" customWidth="1" min="2" max="2"/>
    <col width="16" customWidth="1" min="3" max="3"/>
    <col width="16" customWidth="1" min="4" max="4"/>
    <col width="16" customWidth="1" min="5" max="5"/>
    <col width="16" customWidth="1" min="6" max="6"/>
    <col width="16" customWidth="1" min="7" max="7"/>
    <col width="28" customWidth="1" min="8" max="8"/>
  </cols>
  <sheetData>
    <row r="1" ht="26" customHeight="1">
      <c r="A1" s="388" t="inlineStr">
        <is>
          <t>Zhu et al. 2021 -- Raw Data Extraction</t>
        </is>
      </c>
      <c r="B1" s="332" t="n"/>
      <c r="C1" s="332" t="n"/>
      <c r="D1" s="332" t="n"/>
      <c r="E1" s="332" t="n"/>
      <c r="F1" s="332" t="n"/>
      <c r="G1" s="332" t="n"/>
      <c r="H1" s="333" t="n"/>
    </row>
    <row r="2" ht="28" customHeight="1">
      <c r="A2" s="284" t="inlineStr">
        <is>
          <t>Zhu H, Muransky O, Wei T, Davis J, Budzakoska-Testone E, Huang H, Drew M. "The effect of applied stress on the high-temperature creep behaviour and microstructure of NiMoCr Hastelloy-N alloy." Materialia 16 (2021) 101069. DOI: 10.1016/j.mtla.2021.101069.  Institution: ANSTO, UNSW Sydney, SINAP Shanghai.  Temperature: 973 K (700 C). Vacuum (10^-5 torr).</t>
        </is>
      </c>
      <c r="B2" s="334" t="n"/>
      <c r="C2" s="334" t="n"/>
      <c r="D2" s="334" t="n"/>
      <c r="E2" s="334" t="n"/>
      <c r="F2" s="334" t="n"/>
      <c r="G2" s="334" t="n"/>
      <c r="H2" s="335" t="n"/>
    </row>
    <row r="3" ht="36" customHeight="1">
      <c r="A3" s="337" t="inlineStr">
        <is>
          <t>KEY DATA FOR MODEL: (1) Grain size 50-150 um equiaxed -- validates grain_size placeholder. (2) Primary carbide = M6C (Mo-rich, Ni2Mo4C). (3) Cr2O3 forms at 973K even under vacuum -- validates oxide model. (4) GND densities directly measured -- enables dislocation_density update. (5) Cr depletion quantified over reactor timescales.</t>
        </is>
      </c>
      <c r="B3" s="334" t="n"/>
      <c r="C3" s="334" t="n"/>
      <c r="D3" s="334" t="n"/>
      <c r="E3" s="334" t="n"/>
      <c r="F3" s="334" t="n"/>
      <c r="G3" s="334" t="n"/>
      <c r="H3" s="335" t="n"/>
    </row>
    <row r="4" ht="8" customHeight="1"/>
    <row r="5" ht="20" customHeight="1">
      <c r="A5" s="389" t="inlineStr">
        <is>
          <t>MATERIAL COMPOSITION AND INITIAL CONDITION (Hastelloy-N, SINAP source)</t>
        </is>
      </c>
      <c r="B5" s="334" t="n"/>
      <c r="C5" s="334" t="n"/>
      <c r="D5" s="334" t="n"/>
      <c r="E5" s="334" t="n"/>
      <c r="F5" s="334" t="n"/>
      <c r="G5" s="334" t="n"/>
      <c r="H5" s="335" t="n"/>
    </row>
    <row r="6" ht="24" customHeight="1">
      <c r="A6" s="28" t="inlineStr">
        <is>
          <t>Element</t>
        </is>
      </c>
      <c r="B6" s="28" t="inlineStr">
        <is>
          <t>Ni</t>
        </is>
      </c>
      <c r="C6" s="28" t="inlineStr">
        <is>
          <t>Mo</t>
        </is>
      </c>
      <c r="D6" s="28" t="inlineStr">
        <is>
          <t>Cr</t>
        </is>
      </c>
      <c r="E6" s="28" t="inlineStr">
        <is>
          <t>Fe</t>
        </is>
      </c>
      <c r="F6" s="28" t="inlineStr">
        <is>
          <t>Mn</t>
        </is>
      </c>
      <c r="G6" s="28" t="inlineStr">
        <is>
          <t>Si</t>
        </is>
      </c>
      <c r="H6" s="28" t="inlineStr">
        <is>
          <t>Notes</t>
        </is>
      </c>
    </row>
    <row r="7" ht="18" customHeight="1">
      <c r="A7" s="392" t="inlineStr">
        <is>
          <t>wt%</t>
        </is>
      </c>
      <c r="B7" s="392" t="inlineStr">
        <is>
          <t>Balance</t>
        </is>
      </c>
      <c r="C7" s="390" t="n">
        <v>15.7</v>
      </c>
      <c r="D7" s="390" t="n">
        <v>7.11</v>
      </c>
      <c r="E7" s="390" t="n">
        <v>3.71</v>
      </c>
      <c r="F7" s="390" t="n">
        <v>0.5600000000000001</v>
      </c>
      <c r="G7" s="390" t="n">
        <v>0.21</v>
      </c>
      <c r="H7" s="314" t="inlineStr">
        <is>
          <t>Solution annealed 1450K &gt;=20 min, air cooled</t>
        </is>
      </c>
    </row>
    <row r="8" ht="22" customHeight="1">
      <c r="A8" s="322" t="inlineStr">
        <is>
          <t>As-received microstructure: equiaxed grains 50-150 um. Carbide stringers aligned in rolling direction (primary M6C type). GND density baseline: ~8.16e12 m/m^3 (at detection limit).</t>
        </is>
      </c>
      <c r="B8" s="334" t="n"/>
      <c r="C8" s="334" t="n"/>
      <c r="D8" s="334" t="n"/>
      <c r="E8" s="334" t="n"/>
      <c r="F8" s="334" t="n"/>
      <c r="G8" s="334" t="n"/>
      <c r="H8" s="335" t="n"/>
    </row>
    <row r="9" ht="8" customHeight="1"/>
    <row r="10" ht="20" customHeight="1">
      <c r="A10" s="389" t="inlineStr">
        <is>
          <t>SPECIMEN GEOMETRY AND TEST CONDITIONS</t>
        </is>
      </c>
      <c r="B10" s="334" t="n"/>
      <c r="C10" s="334" t="n"/>
      <c r="D10" s="334" t="n"/>
      <c r="E10" s="334" t="n"/>
      <c r="F10" s="334" t="n"/>
      <c r="G10" s="334" t="n"/>
      <c r="H10" s="335" t="n"/>
    </row>
    <row r="11" ht="24" customHeight="1">
      <c r="A11" s="28" t="inlineStr">
        <is>
          <t>Parameter</t>
        </is>
      </c>
      <c r="B11" s="28" t="inlineStr">
        <is>
          <t>Value</t>
        </is>
      </c>
      <c r="C11" s="28" t="inlineStr">
        <is>
          <t>Notes</t>
        </is>
      </c>
    </row>
    <row r="12" ht="18" customHeight="1">
      <c r="A12" s="391" t="inlineStr">
        <is>
          <t>Gauge diameter</t>
        </is>
      </c>
      <c r="B12" s="391" t="inlineStr">
        <is>
          <t>2 mm</t>
        </is>
      </c>
      <c r="C12" s="391" t="inlineStr">
        <is>
          <t>Miniature creep specimen</t>
        </is>
      </c>
    </row>
    <row r="13" ht="18" customHeight="1">
      <c r="A13" s="392" t="inlineStr">
        <is>
          <t>Parallel gauge length</t>
        </is>
      </c>
      <c r="B13" s="392" t="inlineStr">
        <is>
          <t>10 mm</t>
        </is>
      </c>
      <c r="C13" s="392" t="inlineStr"/>
    </row>
    <row r="14" ht="18" customHeight="1">
      <c r="A14" s="391" t="inlineStr">
        <is>
          <t>Overall length</t>
        </is>
      </c>
      <c r="B14" s="391" t="inlineStr">
        <is>
          <t>32 mm</t>
        </is>
      </c>
      <c r="C14" s="391" t="inlineStr"/>
    </row>
    <row r="15" ht="18" customHeight="1">
      <c r="A15" s="392" t="inlineStr">
        <is>
          <t>Orientation</t>
        </is>
      </c>
      <c r="B15" s="392" t="inlineStr">
        <is>
          <t>Rolling (longitudinal) direction</t>
        </is>
      </c>
      <c r="C15" s="392" t="inlineStr"/>
    </row>
    <row r="16" ht="18" customHeight="1">
      <c r="A16" s="391" t="inlineStr">
        <is>
          <t>Temperature</t>
        </is>
      </c>
      <c r="B16" s="391" t="inlineStr">
        <is>
          <t>973 K (700 C)</t>
        </is>
      </c>
      <c r="C16" s="315" t="inlineStr">
        <is>
          <t>Isothermal, ±0.5 C via dual K-type thermocouples</t>
        </is>
      </c>
    </row>
    <row r="17" ht="18" customHeight="1">
      <c r="A17" s="392" t="inlineStr">
        <is>
          <t>Atmosphere</t>
        </is>
      </c>
      <c r="B17" s="392" t="inlineStr">
        <is>
          <t>Vacuum (10^-5 torr)</t>
        </is>
      </c>
      <c r="C17" s="314" t="inlineStr">
        <is>
          <t>To limit oxidation -- Cr2O3 still formed (see below)</t>
        </is>
      </c>
    </row>
    <row r="18" ht="18" customHeight="1">
      <c r="A18" s="391" t="inlineStr">
        <is>
          <t>Loading</t>
        </is>
      </c>
      <c r="B18" s="391" t="inlineStr">
        <is>
          <t>Dead-weight (constant load)</t>
        </is>
      </c>
      <c r="C18" s="391" t="inlineStr">
        <is>
          <t>ASTM E139-83 (1990)</t>
        </is>
      </c>
    </row>
    <row r="19" ht="18" customHeight="1">
      <c r="A19" s="392" t="inlineStr">
        <is>
          <t>Strain measurement</t>
        </is>
      </c>
      <c r="B19" s="392" t="inlineStr">
        <is>
          <t>LVDT on pull rod</t>
        </is>
      </c>
      <c r="C19" s="392" t="inlineStr"/>
    </row>
    <row r="20" ht="18" customHeight="1">
      <c r="A20" s="391" t="inlineStr">
        <is>
          <t>EBSD step size</t>
        </is>
      </c>
      <c r="B20" s="391" t="inlineStr">
        <is>
          <t>150 nm</t>
        </is>
      </c>
      <c r="C20" s="315" t="inlineStr">
        <is>
          <t>Zeiss Ultra Plus SEM, 20 kV, 60 um aperture</t>
        </is>
      </c>
    </row>
    <row r="21" ht="18" customHeight="1">
      <c r="A21" s="392" t="inlineStr">
        <is>
          <t>TEM</t>
        </is>
      </c>
      <c r="B21" s="392" t="inlineStr">
        <is>
          <t>JEOL JEM 2200FS, 200 kV</t>
        </is>
      </c>
      <c r="C21" s="392" t="inlineStr">
        <is>
          <t>FIB specimens by Zeiss Auriga 60</t>
        </is>
      </c>
    </row>
    <row r="22" ht="18" customHeight="1">
      <c r="A22" s="391" t="inlineStr">
        <is>
          <t>GND analysis</t>
        </is>
      </c>
      <c r="B22" s="391" t="inlineStr">
        <is>
          <t>MTEX toolbox (Pantleon framework)</t>
        </is>
      </c>
      <c r="C22" s="391" t="inlineStr">
        <is>
          <t>MATLAB-based</t>
        </is>
      </c>
    </row>
    <row r="23" ht="8" customHeight="1"/>
    <row r="24" ht="20" customHeight="1">
      <c r="A24" s="389" t="inlineStr">
        <is>
          <t>CREEP BEHAVIOR DATA (Fig. 2a)</t>
        </is>
      </c>
      <c r="B24" s="334" t="n"/>
      <c r="C24" s="334" t="n"/>
      <c r="D24" s="334" t="n"/>
      <c r="E24" s="334" t="n"/>
      <c r="F24" s="334" t="n"/>
      <c r="G24" s="334" t="n"/>
      <c r="H24" s="335" t="n"/>
    </row>
    <row r="25" ht="24" customHeight="1">
      <c r="A25" s="28" t="inlineStr">
        <is>
          <t>Parameter</t>
        </is>
      </c>
      <c r="B25" s="28" t="inlineStr">
        <is>
          <t>100 MPa (low stress)</t>
        </is>
      </c>
      <c r="C25" s="28" t="inlineStr">
        <is>
          <t>165 MPa (high stress)</t>
        </is>
      </c>
      <c r="D25" s="28" t="inlineStr">
        <is>
          <t>Notes</t>
        </is>
      </c>
    </row>
    <row r="26" ht="20" customHeight="1">
      <c r="A26" s="391" t="inlineStr">
        <is>
          <t>Time to failure t_c</t>
        </is>
      </c>
      <c r="B26" s="391" t="inlineStr">
        <is>
          <t>10,258 h</t>
        </is>
      </c>
      <c r="C26" s="391" t="inlineStr">
        <is>
          <t>1,197 h</t>
        </is>
      </c>
      <c r="D26" s="315" t="inlineStr">
        <is>
          <t>Creep life reduced ~8.6x at higher stress</t>
        </is>
      </c>
    </row>
    <row r="27" ht="20" customHeight="1">
      <c r="A27" s="392" t="inlineStr">
        <is>
          <t>Strain to failure epsilon_c</t>
        </is>
      </c>
      <c r="B27" s="392" t="inlineStr">
        <is>
          <t>32%</t>
        </is>
      </c>
      <c r="C27" s="392" t="inlineStr">
        <is>
          <t>53%</t>
        </is>
      </c>
      <c r="D27" s="314" t="inlineStr">
        <is>
          <t>165 MPa more ductile failure despite shorter life</t>
        </is>
      </c>
    </row>
    <row r="28" ht="20" customHeight="1">
      <c r="A28" s="391" t="inlineStr">
        <is>
          <t>Min. creep rate (h^-1)</t>
        </is>
      </c>
      <c r="B28" s="391" t="inlineStr">
        <is>
          <t>1.21e-05</t>
        </is>
      </c>
      <c r="C28" s="391" t="inlineStr">
        <is>
          <t>1.86e-04</t>
        </is>
      </c>
      <c r="D28" s="391" t="inlineStr"/>
    </row>
    <row r="29" ht="20" customHeight="1">
      <c r="A29" s="392" t="inlineStr">
        <is>
          <t>Stress exponent n</t>
        </is>
      </c>
      <c r="B29" s="392" t="inlineStr">
        <is>
          <t>2.7 (mixed: disl+diffusion+GBS)</t>
        </is>
      </c>
      <c r="C29" s="392" t="inlineStr">
        <is>
          <t>5.1 (dislocation creep)</t>
        </is>
      </c>
      <c r="D29" s="392" t="inlineStr">
        <is>
          <t>From Fig. 4</t>
        </is>
      </c>
    </row>
    <row r="30" ht="20" customHeight="1">
      <c r="A30" s="391" t="inlineStr">
        <is>
          <t>Dominant creep mechanism</t>
        </is>
      </c>
      <c r="B30" s="391" t="inlineStr">
        <is>
          <t>Dislocation + diffusion creep + GBS</t>
        </is>
      </c>
      <c r="C30" s="315" t="inlineStr">
        <is>
          <t>Predominantly dislocation (five-power-law)</t>
        </is>
      </c>
      <c r="D30" s="391" t="inlineStr"/>
    </row>
    <row r="31" ht="20" customHeight="1">
      <c r="A31" s="392" t="inlineStr">
        <is>
          <t>Larson-Miller validation</t>
        </is>
      </c>
      <c r="B31" s="314" t="inlineStr">
        <is>
          <t>Within general spread of literature datasets</t>
        </is>
      </c>
      <c r="C31" s="392" t="inlineStr">
        <is>
          <t>Same</t>
        </is>
      </c>
      <c r="D31" s="392" t="inlineStr">
        <is>
          <t>866K to 1255K range, Fig. 2b</t>
        </is>
      </c>
    </row>
    <row r="32" ht="8" customHeight="1"/>
    <row r="33" ht="20" customHeight="1">
      <c r="A33" s="389" t="inlineStr">
        <is>
          <t>DISLOCATION DENSITY DATA (EBSD MTEX analysis) -- KEY FOR TRAPPING MODEL</t>
        </is>
      </c>
      <c r="B33" s="334" t="n"/>
      <c r="C33" s="334" t="n"/>
      <c r="D33" s="334" t="n"/>
      <c r="E33" s="334" t="n"/>
      <c r="F33" s="334" t="n"/>
      <c r="G33" s="334" t="n"/>
      <c r="H33" s="335" t="n"/>
    </row>
    <row r="34" ht="28" customHeight="1">
      <c r="A34" s="343" t="inlineStr">
        <is>
          <t>GND = Geometrically Necessary Dislocations. rho_G units: m/m^3 (line density). Detection limit ~2e12 m/m^3. CSD = Coherently Scattering Domain (dislocation cell size). Formula: &lt;X&gt;_A,min = sqrt(2/3) * 1/(delta_x * rho_G_bar) with delta_x = 150 nm.</t>
        </is>
      </c>
      <c r="B34" s="334" t="n"/>
      <c r="C34" s="334" t="n"/>
      <c r="D34" s="334" t="n"/>
      <c r="E34" s="334" t="n"/>
      <c r="F34" s="334" t="n"/>
      <c r="G34" s="334" t="n"/>
      <c r="H34" s="335" t="n"/>
    </row>
    <row r="35" ht="28" customHeight="1">
      <c r="A35" s="28" t="inlineStr">
        <is>
          <t>Condition</t>
        </is>
      </c>
      <c r="B35" s="28" t="inlineStr">
        <is>
          <t>rho_G_bar (m/m^3)</t>
        </is>
      </c>
      <c r="C35" s="28" t="inlineStr">
        <is>
          <t>Variance v_G (m^-6)</t>
        </is>
      </c>
      <c r="D35" s="28" t="inlineStr">
        <is>
          <t>&lt;X&gt;_A,min (nm)</t>
        </is>
      </c>
      <c r="E35" s="28" t="inlineStr">
        <is>
          <t>LAGB density (m/m^2)</t>
        </is>
      </c>
      <c r="F35" s="28" t="inlineStr">
        <is>
          <t>Notes</t>
        </is>
      </c>
    </row>
    <row r="36" ht="22" customHeight="1">
      <c r="A36" s="392" t="inlineStr">
        <is>
          <t>As-received (baseline)</t>
        </is>
      </c>
      <c r="B36" s="392" t="inlineStr">
        <is>
          <t>~8.16e12</t>
        </is>
      </c>
      <c r="C36" s="392" t="inlineStr">
        <is>
          <t>~2.48e25</t>
        </is>
      </c>
      <c r="D36" s="392" t="inlineStr">
        <is>
          <t>&gt;667 nm</t>
        </is>
      </c>
      <c r="E36" s="392" t="inlineStr">
        <is>
          <t>---</t>
        </is>
      </c>
      <c r="F36" s="314" t="inlineStr">
        <is>
          <t>At detection limit -- essentially dislocation-free (solution annealed)</t>
        </is>
      </c>
    </row>
    <row r="37" ht="22" customHeight="1">
      <c r="A37" s="401" t="inlineStr">
        <is>
          <t>100 MPa gauge (crept 10,258h)</t>
        </is>
      </c>
      <c r="B37" s="401" t="inlineStr">
        <is>
          <t>8.65e13</t>
        </is>
      </c>
      <c r="C37" s="401" t="inlineStr">
        <is>
          <t>1.34e28</t>
        </is>
      </c>
      <c r="D37" s="401" t="inlineStr">
        <is>
          <t>~63 nm</t>
        </is>
      </c>
      <c r="E37" s="401" t="inlineStr">
        <is>
          <t>3.32e05</t>
        </is>
      </c>
      <c r="F37" s="401" t="inlineStr">
        <is>
          <t>Well-defined dislocation cells</t>
        </is>
      </c>
    </row>
    <row r="38" ht="22" customHeight="1">
      <c r="A38" s="402" t="inlineStr">
        <is>
          <t>165 MPa gauge (crept 1,197h)</t>
        </is>
      </c>
      <c r="B38" s="402" t="inlineStr">
        <is>
          <t>3.18e14</t>
        </is>
      </c>
      <c r="C38" s="402" t="inlineStr">
        <is>
          <t>2.25e29</t>
        </is>
      </c>
      <c r="D38" s="402" t="inlineStr">
        <is>
          <t>~17 nm</t>
        </is>
      </c>
      <c r="E38" s="402" t="inlineStr">
        <is>
          <t>1.66e06</t>
        </is>
      </c>
      <c r="F38" s="402" t="inlineStr">
        <is>
          <t>Less-defined structures + Frank networks</t>
        </is>
      </c>
    </row>
    <row r="39" ht="22" customHeight="1">
      <c r="A39" s="391" t="inlineStr">
        <is>
          <t>100 MPa grip (thermal only)</t>
        </is>
      </c>
      <c r="B39" s="391" t="inlineStr">
        <is>
          <t>~8.16e12</t>
        </is>
      </c>
      <c r="C39" s="391" t="inlineStr">
        <is>
          <t>~2.48e25</t>
        </is>
      </c>
      <c r="D39" s="391" t="inlineStr">
        <is>
          <t>&gt;667 nm</t>
        </is>
      </c>
      <c r="E39" s="391" t="inlineStr">
        <is>
          <t>~1.38e05</t>
        </is>
      </c>
      <c r="F39" s="315" t="inlineStr">
        <is>
          <t>Same as as-received -- stress required for GND accumulation</t>
        </is>
      </c>
    </row>
    <row r="40" ht="36" customHeight="1">
      <c r="A40" s="319" t="inlineStr">
        <is>
          <t>MODEL IMPLICATION: Solution-annealed Hastelloy N (as-received) has rho_G ~8e12 m/m^3 = 8e12 m^-2 line density. This is the correct dislocation_density for the trapping model baseline (NOT the crept values). Current placeholder 1e22 m^-3 = 1e16 m^-2 line density is 4 orders too high. Recommend updating to 1e16 m^-2 (= 1e22 m^-3 if interpreted as volumetric trap density using cross-section ~1 nm^2).</t>
        </is>
      </c>
      <c r="B40" s="334" t="n"/>
      <c r="C40" s="334" t="n"/>
      <c r="D40" s="334" t="n"/>
      <c r="E40" s="334" t="n"/>
      <c r="F40" s="334" t="n"/>
      <c r="G40" s="334" t="n"/>
      <c r="H40" s="335" t="n"/>
    </row>
    <row r="41" ht="8" customHeight="1"/>
    <row r="42" ht="20" customHeight="1">
      <c r="A42" s="389" t="inlineStr">
        <is>
          <t>CARBIDE PRECIPITATION DATA</t>
        </is>
      </c>
      <c r="B42" s="334" t="n"/>
      <c r="C42" s="334" t="n"/>
      <c r="D42" s="334" t="n"/>
      <c r="E42" s="334" t="n"/>
      <c r="F42" s="334" t="n"/>
      <c r="G42" s="334" t="n"/>
      <c r="H42" s="335" t="n"/>
    </row>
    <row r="43" ht="24" customHeight="1">
      <c r="A43" s="28" t="inlineStr">
        <is>
          <t>Carbide type</t>
        </is>
      </c>
      <c r="B43" s="28" t="inlineStr">
        <is>
          <t>Size/Distribution</t>
        </is>
      </c>
      <c r="C43" s="28" t="inlineStr">
        <is>
          <t>Composition (wt%)</t>
        </is>
      </c>
      <c r="D43" s="28" t="inlineStr">
        <is>
          <t>Heat treatment</t>
        </is>
      </c>
      <c r="E43" s="28" t="inlineStr">
        <is>
          <t>Notes</t>
        </is>
      </c>
    </row>
    <row r="44" ht="24" customHeight="1">
      <c r="A44" s="391" t="inlineStr">
        <is>
          <t>Primary M6C (Ni2Mo4C)</t>
        </is>
      </c>
      <c r="B44" s="315" t="inlineStr">
        <is>
          <t>Large, pre-existing, stringers in rolling direction</t>
        </is>
      </c>
      <c r="C44" s="315" t="inlineStr">
        <is>
          <t>Mo ~65, Ni ~24, Cr ~4.5, Fe ~0.5, Si ~5.0</t>
        </is>
      </c>
      <c r="D44" s="391" t="inlineStr">
        <is>
          <t>Solution anneal 1450K</t>
        </is>
      </c>
      <c r="E44" s="315" t="inlineStr">
        <is>
          <t>ICSD_76137 confirmed by TEM-SAD. Unaffected by 973K creep exposure.</t>
        </is>
      </c>
    </row>
    <row r="45" ht="24" customHeight="1">
      <c r="A45" s="392" t="inlineStr">
        <is>
          <t>Secondary M6C (fine)</t>
        </is>
      </c>
      <c r="B45" s="392" t="inlineStr">
        <is>
          <t>Fine precipitates along HAGB</t>
        </is>
      </c>
      <c r="C45" s="392" t="inlineStr">
        <is>
          <t>Same composition as primary (Mo-rich)</t>
        </is>
      </c>
      <c r="D45" s="314" t="inlineStr">
        <is>
          <t>Formed during 973K creep (thermal activation)</t>
        </is>
      </c>
      <c r="E45" s="314" t="inlineStr">
        <is>
          <t>More pronounced in 100 MPa (10,258h) than 165 MPa (1,197h) -- time-dependent. Causes GB embrittlement.</t>
        </is>
      </c>
    </row>
    <row r="46" ht="28" customHeight="1">
      <c r="A46" s="322" t="inlineStr">
        <is>
          <t>TRAPPING MODEL: M6C is Mo-rich (Mo ~65 wt%). For binding energy: M6C is structurally similar to M7C3 -- use Young &amp; Scully 1997 value of ~55 kJ/mol as upper bound. M23C6 may also form under sensitization conditions (Young &amp; Scully: 19-28 kJ/mol). Carbide density scales with thermal exposure time -- non-zero in service condition.</t>
        </is>
      </c>
      <c r="B46" s="334" t="n"/>
      <c r="C46" s="334" t="n"/>
      <c r="D46" s="334" t="n"/>
      <c r="E46" s="334" t="n"/>
      <c r="F46" s="334" t="n"/>
      <c r="G46" s="334" t="n"/>
      <c r="H46" s="335" t="n"/>
    </row>
    <row r="47" ht="8" customHeight="1"/>
    <row r="48" ht="20" customHeight="1">
      <c r="A48" s="389" t="inlineStr">
        <is>
          <t>CR DEPLETION DATA -- DIRECTLY RELEVANT TO OXIDE PERMEATION MODEL (Fig. 9, STEM-EDS)</t>
        </is>
      </c>
      <c r="B48" s="334" t="n"/>
      <c r="C48" s="334" t="n"/>
      <c r="D48" s="334" t="n"/>
      <c r="E48" s="334" t="n"/>
      <c r="F48" s="334" t="n"/>
      <c r="G48" s="334" t="n"/>
      <c r="H48" s="335" t="n"/>
    </row>
    <row r="49" ht="22" customHeight="1">
      <c r="A49" s="379" t="inlineStr">
        <is>
          <t>Cr2O3 surface layer formed during 973K creep under vacuum (10^-5 torr). Residual O in chamber reacts with Cr at grain surface. This is precisely the native oxide that your L4/L5/L6 model levels are built around.</t>
        </is>
      </c>
      <c r="B49" s="334" t="n"/>
      <c r="C49" s="334" t="n"/>
      <c r="D49" s="334" t="n"/>
      <c r="E49" s="334" t="n"/>
      <c r="F49" s="334" t="n"/>
      <c r="G49" s="334" t="n"/>
      <c r="H49" s="335" t="n"/>
    </row>
    <row r="50" ht="24" customHeight="1">
      <c r="A50" s="28" t="inlineStr">
        <is>
          <t>Condition</t>
        </is>
      </c>
      <c r="B50" s="28" t="inlineStr">
        <is>
          <t>Exposure duration (h)</t>
        </is>
      </c>
      <c r="C50" s="28" t="inlineStr">
        <is>
          <t>Cr in matrix (wt%)</t>
        </is>
      </c>
      <c r="D50" s="28" t="inlineStr">
        <is>
          <t>Delta Cr vs as-received (wt%)</t>
        </is>
      </c>
      <c r="E50" s="28" t="inlineStr">
        <is>
          <t>Notes</t>
        </is>
      </c>
    </row>
    <row r="51" ht="18" customHeight="1">
      <c r="A51" s="391" t="inlineStr">
        <is>
          <t>As-received</t>
        </is>
      </c>
      <c r="B51" s="393" t="n">
        <v>0</v>
      </c>
      <c r="C51" s="393" t="n">
        <v>7.03</v>
      </c>
      <c r="D51" s="391" t="inlineStr">
        <is>
          <t>---</t>
        </is>
      </c>
      <c r="E51" s="391" t="inlineStr">
        <is>
          <t>Nominal composition</t>
        </is>
      </c>
    </row>
    <row r="52" ht="18" customHeight="1">
      <c r="A52" s="401" t="inlineStr">
        <is>
          <t>973K / 165 MPa gauge</t>
        </is>
      </c>
      <c r="B52" s="380" t="n">
        <v>1197</v>
      </c>
      <c r="C52" s="380" t="n">
        <v>5.85</v>
      </c>
      <c r="D52" s="401" t="inlineStr">
        <is>
          <t>-1.18</t>
        </is>
      </c>
      <c r="E52" s="401" t="inlineStr">
        <is>
          <t>Moderate depletion after ~50 days</t>
        </is>
      </c>
    </row>
    <row r="53" ht="18" customHeight="1">
      <c r="A53" s="404" t="inlineStr">
        <is>
          <t>973K / 100 MPa gauge</t>
        </is>
      </c>
      <c r="B53" s="382" t="n">
        <v>10258</v>
      </c>
      <c r="C53" s="382" t="n">
        <v>3.01</v>
      </c>
      <c r="D53" s="404" t="inlineStr">
        <is>
          <t>-4.02</t>
        </is>
      </c>
      <c r="E53" s="364" t="inlineStr">
        <is>
          <t>Severe depletion after ~428 days -- 57% Cr loss from matrix</t>
        </is>
      </c>
    </row>
    <row r="54" ht="28" customHeight="1">
      <c r="A54" s="284" t="inlineStr">
        <is>
          <t>Implication for permeation model: Cr availability for Cr2O3 regeneration decreases from 7.03 to 3.01 wt% over ~10,000h at 973K. This provides a physical basis for oxide degradation over reactor operational timescales. Long-term model runs should account for reduced Cr reservoir.</t>
        </is>
      </c>
      <c r="B54" s="334" t="n"/>
      <c r="C54" s="334" t="n"/>
      <c r="D54" s="334" t="n"/>
      <c r="E54" s="334" t="n"/>
      <c r="F54" s="334" t="n"/>
      <c r="G54" s="334" t="n"/>
      <c r="H54" s="335" t="n"/>
    </row>
    <row r="55" ht="8" customHeight="1"/>
    <row r="56" ht="20" customHeight="1">
      <c r="A56" s="389" t="inlineStr">
        <is>
          <t>LAGB / HAGB CHARACTERIZATION</t>
        </is>
      </c>
      <c r="B56" s="334" t="n"/>
      <c r="C56" s="334" t="n"/>
      <c r="D56" s="334" t="n"/>
      <c r="E56" s="334" t="n"/>
      <c r="F56" s="334" t="n"/>
      <c r="G56" s="334" t="n"/>
      <c r="H56" s="335" t="n"/>
    </row>
    <row r="57" ht="24" customHeight="1">
      <c r="A57" s="28" t="inlineStr">
        <is>
          <t>Boundary type</t>
        </is>
      </c>
      <c r="B57" s="28" t="inlineStr">
        <is>
          <t>Definition</t>
        </is>
      </c>
      <c r="C57" s="28" t="inlineStr">
        <is>
          <t>Condition</t>
        </is>
      </c>
      <c r="D57" s="28" t="inlineStr">
        <is>
          <t>Density (m/m^2)</t>
        </is>
      </c>
      <c r="E57" s="28" t="inlineStr">
        <is>
          <t>Notes</t>
        </is>
      </c>
    </row>
    <row r="58" ht="18" customHeight="1">
      <c r="A58" s="391" t="inlineStr">
        <is>
          <t>LAGB (low-angle GB)</t>
        </is>
      </c>
      <c r="B58" s="391" t="inlineStr">
        <is>
          <t>0.5 &lt; misorientation &lt; 15 deg</t>
        </is>
      </c>
      <c r="C58" s="391" t="inlineStr">
        <is>
          <t>As-received</t>
        </is>
      </c>
      <c r="D58" s="391" t="inlineStr">
        <is>
          <t>Not reported</t>
        </is>
      </c>
      <c r="E58" s="315" t="inlineStr">
        <is>
          <t>Baseline -- essentially absent in solution-annealed condition</t>
        </is>
      </c>
    </row>
    <row r="59" ht="18" customHeight="1">
      <c r="A59" s="392" t="inlineStr">
        <is>
          <t>LAGB</t>
        </is>
      </c>
      <c r="B59" s="392" t="inlineStr">
        <is>
          <t>0.5 &lt; misorientation &lt; 15 deg</t>
        </is>
      </c>
      <c r="C59" s="392" t="inlineStr">
        <is>
          <t>100 MPa gauge (crept)</t>
        </is>
      </c>
      <c r="D59" s="392" t="inlineStr">
        <is>
          <t>3.32e05</t>
        </is>
      </c>
      <c r="E59" s="314" t="inlineStr">
        <is>
          <t>Dislocation sub-boundary formation during creep</t>
        </is>
      </c>
    </row>
    <row r="60" ht="18" customHeight="1">
      <c r="A60" s="391" t="inlineStr">
        <is>
          <t>LAGB</t>
        </is>
      </c>
      <c r="B60" s="391" t="inlineStr">
        <is>
          <t>0.5 &lt; misorientation &lt; 15 deg</t>
        </is>
      </c>
      <c r="C60" s="391" t="inlineStr">
        <is>
          <t>165 MPa gauge (crept)</t>
        </is>
      </c>
      <c r="D60" s="391" t="inlineStr">
        <is>
          <t>1.66e06</t>
        </is>
      </c>
      <c r="E60" s="315" t="inlineStr">
        <is>
          <t>Higher density at higher stress -- consistent with higher GND</t>
        </is>
      </c>
    </row>
    <row r="61" ht="18" customHeight="1">
      <c r="A61" s="392" t="inlineStr">
        <is>
          <t>LAGB</t>
        </is>
      </c>
      <c r="B61" s="392" t="inlineStr">
        <is>
          <t>0.5 &lt; misorientation &lt; 15 deg</t>
        </is>
      </c>
      <c r="C61" s="392" t="inlineStr">
        <is>
          <t>100 MPa grip (thermal only)</t>
        </is>
      </c>
      <c r="D61" s="392" t="inlineStr">
        <is>
          <t>~1.38e05</t>
        </is>
      </c>
      <c r="E61" s="314" t="inlineStr">
        <is>
          <t>Some thermal activation of dislocation structures</t>
        </is>
      </c>
    </row>
    <row r="62" ht="18" customHeight="1">
      <c r="A62" s="391" t="inlineStr">
        <is>
          <t>HAGB (high-angle GB)</t>
        </is>
      </c>
      <c r="B62" s="391" t="inlineStr">
        <is>
          <t>misorientation &gt; 15 deg</t>
        </is>
      </c>
      <c r="C62" s="391" t="inlineStr">
        <is>
          <t>All conditions</t>
        </is>
      </c>
      <c r="D62" s="391" t="inlineStr">
        <is>
          <t>~50-150 um grain size</t>
        </is>
      </c>
      <c r="E62" s="391" t="inlineStr">
        <is>
          <t>GB sliding active at 100 MPa (n=2.7)</t>
        </is>
      </c>
    </row>
    <row r="63" ht="8" customHeight="1"/>
    <row r="64" ht="20" customHeight="1">
      <c r="A64" s="394" t="inlineStr">
        <is>
          <t>RECOMMENDED UPDATES TO TRAPPING DICTIONARY FROM THIS PAPER</t>
        </is>
      </c>
      <c r="B64" s="334" t="n"/>
      <c r="C64" s="334" t="n"/>
      <c r="D64" s="334" t="n"/>
      <c r="E64" s="334" t="n"/>
      <c r="F64" s="334" t="n"/>
      <c r="G64" s="334" t="n"/>
      <c r="H64" s="335" t="n"/>
    </row>
    <row r="65" ht="24" customHeight="1">
      <c r="A65" s="36" t="inlineStr">
        <is>
          <t>Parameter</t>
        </is>
      </c>
      <c r="B65" s="36" t="inlineStr">
        <is>
          <t>Current placeholder</t>
        </is>
      </c>
      <c r="C65" s="36" t="inlineStr">
        <is>
          <t>Updated value</t>
        </is>
      </c>
      <c r="D65" s="36" t="inlineStr">
        <is>
          <t>Source</t>
        </is>
      </c>
      <c r="E65" s="36" t="inlineStr">
        <is>
          <t>Confidence</t>
        </is>
      </c>
      <c r="F65" s="36" t="inlineStr">
        <is>
          <t>Notes</t>
        </is>
      </c>
    </row>
    <row r="66" ht="22" customHeight="1">
      <c r="A66" s="399" t="inlineStr">
        <is>
          <t>grain_size</t>
        </is>
      </c>
      <c r="B66" s="399" t="inlineStr">
        <is>
          <t>50e-6 m</t>
        </is>
      </c>
      <c r="C66" s="385" t="inlineStr">
        <is>
          <t>50e-6 to 150e-6 m (use 100e-6 as midpoint)</t>
        </is>
      </c>
      <c r="D66" s="399" t="inlineStr">
        <is>
          <t>Zhu 2021 EBSD</t>
        </is>
      </c>
      <c r="E66" s="399" t="inlineStr">
        <is>
          <t>High -- direct measurement</t>
        </is>
      </c>
      <c r="F66" s="399" t="inlineStr">
        <is>
          <t>Solution-annealed Hastelloy-N</t>
        </is>
      </c>
    </row>
    <row r="67" ht="22" customHeight="1">
      <c r="A67" s="400" t="inlineStr">
        <is>
          <t>grain_shape</t>
        </is>
      </c>
      <c r="B67" s="400" t="inlineStr">
        <is>
          <t>equiaxed</t>
        </is>
      </c>
      <c r="C67" s="400" t="inlineStr">
        <is>
          <t>equiaxed -- CONFIRMED</t>
        </is>
      </c>
      <c r="D67" s="400" t="inlineStr">
        <is>
          <t>Zhu 2021 Fig. 1a</t>
        </is>
      </c>
      <c r="E67" s="400" t="inlineStr">
        <is>
          <t>High</t>
        </is>
      </c>
      <c r="F67" s="400" t="inlineStr">
        <is>
          <t>No change needed</t>
        </is>
      </c>
    </row>
    <row r="68" ht="22" customHeight="1">
      <c r="A68" s="399" t="inlineStr">
        <is>
          <t>gb_type</t>
        </is>
      </c>
      <c r="B68" s="399" t="inlineStr">
        <is>
          <t>LAGB</t>
        </is>
      </c>
      <c r="C68" s="385" t="inlineStr">
        <is>
          <t>Mixed LAGB/HAGB in service; primarily HAGB in as-received</t>
        </is>
      </c>
      <c r="D68" s="399" t="inlineStr">
        <is>
          <t>Zhu 2021 EBSD</t>
        </is>
      </c>
      <c r="E68" s="399" t="inlineStr">
        <is>
          <t>Medium</t>
        </is>
      </c>
      <c r="F68" s="399" t="inlineStr">
        <is>
          <t>HAGBs present; LAGBs form under stress</t>
        </is>
      </c>
    </row>
    <row r="69" ht="22" customHeight="1">
      <c r="A69" s="400" t="inlineStr">
        <is>
          <t>dislocation density</t>
        </is>
      </c>
      <c r="B69" s="400" t="inlineStr">
        <is>
          <t>1e22 m^-3</t>
        </is>
      </c>
      <c r="C69" s="400" t="inlineStr">
        <is>
          <t>~8e12 m/m^3 = ~8e16 m^-2 (as-received)</t>
        </is>
      </c>
      <c r="D69" s="400" t="inlineStr">
        <is>
          <t>Zhu 2021 MTEX GND</t>
        </is>
      </c>
      <c r="E69" s="400" t="inlineStr">
        <is>
          <t>High -- direct measurement</t>
        </is>
      </c>
      <c r="F69" s="387" t="inlineStr">
        <is>
          <t>1e22 placeholder is 4 orders too high for annealed material</t>
        </is>
      </c>
    </row>
    <row r="70" ht="22" customHeight="1">
      <c r="A70" s="399" t="inlineStr">
        <is>
          <t>Carbide type</t>
        </is>
      </c>
      <c r="B70" s="399" t="inlineStr">
        <is>
          <t>generic (E_b=0)</t>
        </is>
      </c>
      <c r="C70" s="399" t="inlineStr">
        <is>
          <t>M6C primary (Mo-rich, similar to M7C3)</t>
        </is>
      </c>
      <c r="D70" s="399" t="inlineStr">
        <is>
          <t>Zhu 2021 TEM-SAD</t>
        </is>
      </c>
      <c r="E70" s="399" t="inlineStr">
        <is>
          <t>High</t>
        </is>
      </c>
      <c r="F70" s="385" t="inlineStr">
        <is>
          <t>Use Young 1997: E_b ~55 kJ/mol for M7C3 analog</t>
        </is>
      </c>
    </row>
    <row r="71" ht="22" customHeight="1">
      <c r="A71" s="400" t="inlineStr">
        <is>
          <t>Oxide layer validity at 973K</t>
        </is>
      </c>
      <c r="B71" s="400" t="inlineStr">
        <is>
          <t>--</t>
        </is>
      </c>
      <c r="C71" s="400" t="inlineStr">
        <is>
          <t>Confirmed: Cr2O3 forms even under vacuum</t>
        </is>
      </c>
      <c r="D71" s="400" t="inlineStr">
        <is>
          <t>Zhu 2021 STEM-EDS</t>
        </is>
      </c>
      <c r="E71" s="400" t="inlineStr">
        <is>
          <t>High -- direct measurement</t>
        </is>
      </c>
      <c r="F71" s="400" t="inlineStr">
        <is>
          <t>Validates L4/L5/L6 model assumption</t>
        </is>
      </c>
    </row>
    <row r="72" ht="12" customHeight="1"/>
  </sheetData>
  <mergeCells count="17">
    <mergeCell ref="A56:H56"/>
    <mergeCell ref="A1:H1"/>
    <mergeCell ref="A48:H48"/>
    <mergeCell ref="A3:H3"/>
    <mergeCell ref="A24:H24"/>
    <mergeCell ref="A2:H2"/>
    <mergeCell ref="A54:H54"/>
    <mergeCell ref="A64:H64"/>
    <mergeCell ref="A10:H10"/>
    <mergeCell ref="A42:H42"/>
    <mergeCell ref="A40:H40"/>
    <mergeCell ref="A33:H33"/>
    <mergeCell ref="A49:H49"/>
    <mergeCell ref="A5:H5"/>
    <mergeCell ref="A46:H46"/>
    <mergeCell ref="A8:H8"/>
    <mergeCell ref="A34:H34"/>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53"/>
  <sheetViews>
    <sheetView showGridLines="0" workbookViewId="0">
      <selection activeCell="A1" sqref="A1"/>
    </sheetView>
  </sheetViews>
  <sheetFormatPr baseColWidth="8" defaultRowHeight="15"/>
  <cols>
    <col width="28" customWidth="1" min="1" max="1"/>
    <col width="16" customWidth="1" min="2" max="2"/>
    <col width="14" customWidth="1" min="3" max="3"/>
    <col width="14" customWidth="1" min="4" max="4"/>
    <col width="14" customWidth="1" min="5" max="5"/>
    <col width="14" customWidth="1" min="6" max="6"/>
    <col width="14" customWidth="1" min="7" max="7"/>
    <col width="28" customWidth="1" min="8" max="8"/>
  </cols>
  <sheetData>
    <row r="1" ht="26" customHeight="1">
      <c r="A1" s="388" t="inlineStr">
        <is>
          <t>Lu et al. 2022 -- Raw Data Extraction</t>
        </is>
      </c>
      <c r="B1" s="332" t="n"/>
      <c r="C1" s="332" t="n"/>
      <c r="D1" s="332" t="n"/>
      <c r="E1" s="332" t="n"/>
      <c r="F1" s="332" t="n"/>
      <c r="G1" s="332" t="n"/>
      <c r="H1" s="333" t="n"/>
    </row>
    <row r="2" ht="28" customHeight="1">
      <c r="A2" s="284" t="inlineStr">
        <is>
          <t>Lu X, Depover T, Johnsen R. "Evaluation of hydrogen diffusion and trapping in nickel Alloy 625 by thermal desorption spectroscopy." Int. J. Hydrogen Energy 47 (2022) 31673-31683. DOI: 10.1016/j.ijhydene.2022.07.094.  Open access. Institutions: NTNU (Norway), Ghent University (Belgium).</t>
        </is>
      </c>
      <c r="B2" s="334" t="n"/>
      <c r="C2" s="334" t="n"/>
      <c r="D2" s="334" t="n"/>
      <c r="E2" s="334" t="n"/>
      <c r="F2" s="334" t="n"/>
      <c r="G2" s="334" t="n"/>
      <c r="H2" s="335" t="n"/>
    </row>
    <row r="3" ht="36" customHeight="1">
      <c r="A3" s="337" t="inlineStr">
        <is>
          <t>KEY DATA: (1) Dislocation elastic field trap: 17.92-20.73 kJ/mol (0.186-0.215 eV). (2) GB + carbide interface trap: 24.87-27.13 kJ/mol (0.258-0.281 eV). (3) Diffusion Ea = 42.05-48.10 kJ/mol. (4) M6C carbide confirmed -- same phase as in Hastelloy N (Zhu 2021). (5) Sigma3 twin fraction ~50% constant -- cannot be isolated as variable.</t>
        </is>
      </c>
      <c r="B3" s="334" t="n"/>
      <c r="C3" s="334" t="n"/>
      <c r="D3" s="334" t="n"/>
      <c r="E3" s="334" t="n"/>
      <c r="F3" s="334" t="n"/>
      <c r="G3" s="334" t="n"/>
      <c r="H3" s="335" t="n"/>
    </row>
    <row r="4" ht="8" customHeight="1"/>
    <row r="5" ht="20" customHeight="1">
      <c r="A5" s="389" t="inlineStr">
        <is>
          <t>ALLOY 625 NOMINAL COMPOSITION (wt%)</t>
        </is>
      </c>
      <c r="B5" s="334" t="n"/>
      <c r="C5" s="334" t="n"/>
      <c r="D5" s="334" t="n"/>
      <c r="E5" s="334" t="n"/>
      <c r="F5" s="334" t="n"/>
      <c r="G5" s="334" t="n"/>
      <c r="H5" s="335" t="n"/>
    </row>
    <row r="6" ht="24" customHeight="1">
      <c r="A6" s="28" t="inlineStr">
        <is>
          <t>Ni</t>
        </is>
      </c>
      <c r="B6" s="28" t="inlineStr">
        <is>
          <t>Cr</t>
        </is>
      </c>
      <c r="C6" s="28" t="inlineStr">
        <is>
          <t>Mo</t>
        </is>
      </c>
      <c r="D6" s="28" t="inlineStr">
        <is>
          <t>Nb</t>
        </is>
      </c>
      <c r="E6" s="28" t="inlineStr">
        <is>
          <t>Fe</t>
        </is>
      </c>
      <c r="F6" s="28" t="inlineStr">
        <is>
          <t>C</t>
        </is>
      </c>
      <c r="G6" s="28" t="inlineStr">
        <is>
          <t>Other notable</t>
        </is>
      </c>
      <c r="H6" s="28" t="inlineStr">
        <is>
          <t>Processing</t>
        </is>
      </c>
    </row>
    <row r="7" ht="20" customHeight="1">
      <c r="A7" s="390" t="n">
        <v>62.8</v>
      </c>
      <c r="B7" s="390" t="n">
        <v>21.31</v>
      </c>
      <c r="C7" s="390" t="n">
        <v>8.300000000000001</v>
      </c>
      <c r="D7" s="390" t="n">
        <v>3.25</v>
      </c>
      <c r="E7" s="390" t="n">
        <v>3.7</v>
      </c>
      <c r="F7" s="390" t="n">
        <v>0.018</v>
      </c>
      <c r="G7" s="314" t="inlineStr">
        <is>
          <t>Co 0.18; Al 0.22; Ti 0.05; Si 0.08; Mn 0.07</t>
        </is>
      </c>
      <c r="H7" s="314" t="inlineStr">
        <is>
          <t>Forged bar 91mm -&gt; rolling -&gt; anneal 885C/1h -&gt; water quench</t>
        </is>
      </c>
    </row>
    <row r="8" ht="8" customHeight="1"/>
    <row r="9" ht="20" customHeight="1">
      <c r="A9" s="389" t="inlineStr">
        <is>
          <t>MICROSTRUCTURE BY RADIAL LOCATION (EBSD, 20kV, step 0.5 um)</t>
        </is>
      </c>
      <c r="B9" s="334" t="n"/>
      <c r="C9" s="334" t="n"/>
      <c r="D9" s="334" t="n"/>
      <c r="E9" s="334" t="n"/>
      <c r="F9" s="334" t="n"/>
      <c r="G9" s="334" t="n"/>
      <c r="H9" s="335" t="n"/>
    </row>
    <row r="10" ht="24" customHeight="1">
      <c r="A10" s="28" t="inlineStr">
        <is>
          <t>Location</t>
        </is>
      </c>
      <c r="B10" s="28" t="inlineStr">
        <is>
          <t>Grain Size (um)</t>
        </is>
      </c>
      <c r="C10" s="28" t="inlineStr">
        <is>
          <t>GB Carbide Fraction</t>
        </is>
      </c>
      <c r="D10" s="28" t="inlineStr">
        <is>
          <t>Sigma3 Twin Fraction</t>
        </is>
      </c>
      <c r="E10" s="28" t="inlineStr">
        <is>
          <t>Notes</t>
        </is>
      </c>
    </row>
    <row r="11" ht="18" customHeight="1">
      <c r="A11" s="391" t="inlineStr">
        <is>
          <t>Center</t>
        </is>
      </c>
      <c r="B11" s="391" t="inlineStr">
        <is>
          <t>~11.02</t>
        </is>
      </c>
      <c r="C11" s="391" t="inlineStr">
        <is>
          <t>Lowest</t>
        </is>
      </c>
      <c r="D11" s="391" t="inlineStr">
        <is>
          <t>~50%</t>
        </is>
      </c>
      <c r="E11" s="315" t="inlineStr">
        <is>
          <t>Highest H content in hot extraction tests</t>
        </is>
      </c>
    </row>
    <row r="12" ht="18" customHeight="1">
      <c r="A12" s="392" t="inlineStr">
        <is>
          <t>1/2 Radius</t>
        </is>
      </c>
      <c r="B12" s="392" t="inlineStr">
        <is>
          <t>~10.38</t>
        </is>
      </c>
      <c r="C12" s="392" t="inlineStr">
        <is>
          <t>Intermediate</t>
        </is>
      </c>
      <c r="D12" s="392" t="inlineStr">
        <is>
          <t>~50%</t>
        </is>
      </c>
      <c r="E12" s="392" t="inlineStr"/>
    </row>
    <row r="13" ht="18" customHeight="1">
      <c r="A13" s="391" t="inlineStr">
        <is>
          <t>Edge</t>
        </is>
      </c>
      <c r="B13" s="391" t="inlineStr">
        <is>
          <t>~7.96</t>
        </is>
      </c>
      <c r="C13" s="391" t="inlineStr">
        <is>
          <t>Highest</t>
        </is>
      </c>
      <c r="D13" s="391" t="inlineStr">
        <is>
          <t>~50%</t>
        </is>
      </c>
      <c r="E13" s="315" t="inlineStr">
        <is>
          <t>Smallest grains; most GB carbide; lowest H content</t>
        </is>
      </c>
    </row>
    <row r="14" ht="22" customHeight="1">
      <c r="A14" s="322" t="inlineStr">
        <is>
          <t>Key observation: Sigma3 twin fraction constant at ~50% across ALL locations. Therefore Sigma3 contribution to H diffusion CANNOT be isolated as a variable in this dataset. Consistent with Zhou et al. 2016: Sigma3 GBs contribute negligible trapping.</t>
        </is>
      </c>
      <c r="B14" s="334" t="n"/>
      <c r="C14" s="334" t="n"/>
      <c r="D14" s="334" t="n"/>
      <c r="E14" s="334" t="n"/>
      <c r="F14" s="334" t="n"/>
      <c r="G14" s="334" t="n"/>
      <c r="H14" s="335" t="n"/>
    </row>
    <row r="15" ht="8" customHeight="1"/>
    <row r="16" ht="20" customHeight="1">
      <c r="A16" s="389" t="inlineStr">
        <is>
          <t>M6C CARBIDE CHARACTERIZATION (TEM-SAD + EDS)</t>
        </is>
      </c>
      <c r="B16" s="334" t="n"/>
      <c r="C16" s="334" t="n"/>
      <c r="D16" s="334" t="n"/>
      <c r="E16" s="334" t="n"/>
      <c r="F16" s="334" t="n"/>
      <c r="G16" s="334" t="n"/>
      <c r="H16" s="335" t="n"/>
    </row>
    <row r="17" ht="24" customHeight="1">
      <c r="A17" s="28" t="inlineStr">
        <is>
          <t>Property</t>
        </is>
      </c>
      <c r="B17" s="28" t="inlineStr">
        <is>
          <t>Value</t>
        </is>
      </c>
      <c r="C17" s="28" t="inlineStr">
        <is>
          <t>Notes</t>
        </is>
      </c>
    </row>
    <row r="18" ht="18" customHeight="1">
      <c r="A18" s="391" t="inlineStr">
        <is>
          <t>Crystal structure</t>
        </is>
      </c>
      <c r="B18" s="391" t="inlineStr">
        <is>
          <t>FCC, ICSD confirmed</t>
        </is>
      </c>
      <c r="C18" s="391" t="inlineStr">
        <is>
          <t>TEM selected area diffraction</t>
        </is>
      </c>
    </row>
    <row r="19" ht="18" customHeight="1">
      <c r="A19" s="392" t="inlineStr">
        <is>
          <t>Lattice parameter</t>
        </is>
      </c>
      <c r="B19" s="392" t="inlineStr">
        <is>
          <t>11.50 A</t>
        </is>
      </c>
      <c r="C19" s="392" t="inlineStr">
        <is>
          <t>Consistent with Ni2Mo4C / Mo-rich M6C</t>
        </is>
      </c>
    </row>
    <row r="20" ht="18" customHeight="1">
      <c r="A20" s="391" t="inlineStr">
        <is>
          <t>Interface with matrix</t>
        </is>
      </c>
      <c r="B20" s="391" t="inlineStr">
        <is>
          <t>Incoherent</t>
        </is>
      </c>
      <c r="C20" s="391" t="inlineStr">
        <is>
          <t>Acts as effective trapping site</t>
        </is>
      </c>
    </row>
    <row r="21" ht="18" customHeight="1">
      <c r="A21" s="392" t="inlineStr">
        <is>
          <t>EDS enrichment</t>
        </is>
      </c>
      <c r="B21" s="392" t="inlineStr">
        <is>
          <t>C, Mo, Nb; slight Si enrichment</t>
        </is>
      </c>
      <c r="C21" s="392" t="inlineStr"/>
    </row>
    <row r="22" ht="18" customHeight="1">
      <c r="A22" s="391" t="inlineStr">
        <is>
          <t>EDS depletion</t>
        </is>
      </c>
      <c r="B22" s="391" t="inlineStr">
        <is>
          <t>Cr, Fe, Ni vs matrix</t>
        </is>
      </c>
      <c r="C22" s="315" t="inlineStr">
        <is>
          <t>Same chemistry as Hastelloy N M6C (Zhu 2021)</t>
        </is>
      </c>
    </row>
    <row r="23" ht="18" customHeight="1">
      <c r="A23" s="392" t="inlineStr">
        <is>
          <t>H trap character</t>
        </is>
      </c>
      <c r="B23" s="392" t="inlineStr">
        <is>
          <t>Reversible (peak 2: 24.87-27.13 kJ/mol)</t>
        </is>
      </c>
      <c r="C23" s="392" t="inlineStr">
        <is>
          <t>Below 58 kJ/mol irreversible threshold</t>
        </is>
      </c>
    </row>
    <row r="24" ht="8" customHeight="1"/>
    <row r="25" ht="20" customHeight="1">
      <c r="A25" s="389" t="inlineStr">
        <is>
          <t>TABLE 2 -- DIFFUSION ACTIVATION ENERGY E_D (TDS, Thick Samples, Kissinger method)</t>
        </is>
      </c>
      <c r="B25" s="334" t="n"/>
      <c r="C25" s="334" t="n"/>
      <c r="D25" s="334" t="n"/>
      <c r="E25" s="334" t="n"/>
      <c r="F25" s="334" t="n"/>
      <c r="G25" s="334" t="n"/>
      <c r="H25" s="335" t="n"/>
    </row>
    <row r="26" ht="22" customHeight="1">
      <c r="A26" s="343" t="inlineStr">
        <is>
          <t>Heating rates: 100, 200, 400, 800, 1000 K/h. Kissinger equation: d[ln(phi/Tmax^2)]/d[1/Tmax] = -Ea/R. Peak 1 (~200C): H diffusion toward surface. Peak 2 (~350C): back-diffusion.</t>
        </is>
      </c>
      <c r="B26" s="334" t="n"/>
      <c r="C26" s="334" t="n"/>
      <c r="D26" s="334" t="n"/>
      <c r="E26" s="334" t="n"/>
      <c r="F26" s="334" t="n"/>
      <c r="G26" s="334" t="n"/>
      <c r="H26" s="335" t="n"/>
    </row>
    <row r="27" ht="24" customHeight="1">
      <c r="A27" s="28" t="inlineStr">
        <is>
          <t>Grain Size (um)</t>
        </is>
      </c>
      <c r="B27" s="28" t="inlineStr">
        <is>
          <t>E_D peak1 (kJ/mol)</t>
        </is>
      </c>
      <c r="C27" s="28" t="inlineStr">
        <is>
          <t>E_D peak1 (eV)</t>
        </is>
      </c>
      <c r="D27" s="28" t="inlineStr">
        <is>
          <t>E_D peak2 (kJ/mol)</t>
        </is>
      </c>
      <c r="E27" s="28" t="inlineStr">
        <is>
          <t>E_D peak2 (eV)</t>
        </is>
      </c>
      <c r="F27" s="28" t="inlineStr">
        <is>
          <t>Notes</t>
        </is>
      </c>
    </row>
    <row r="28" ht="18" customHeight="1">
      <c r="A28" s="393" t="n">
        <v>11.02</v>
      </c>
      <c r="B28" s="393" t="n">
        <v>42.41</v>
      </c>
      <c r="C28" s="393" t="n">
        <v>0.4395501891485723</v>
      </c>
      <c r="D28" s="393" t="n">
        <v>48.1</v>
      </c>
      <c r="E28" s="393" t="n">
        <v>0.498523086490128</v>
      </c>
      <c r="F28" s="391" t="inlineStr">
        <is>
          <t>Center -- largest grains</t>
        </is>
      </c>
    </row>
    <row r="29" ht="18" customHeight="1">
      <c r="A29" s="390" t="n">
        <v>10.38</v>
      </c>
      <c r="B29" s="390" t="n">
        <v>42.05</v>
      </c>
      <c r="C29" s="390" t="n">
        <v>0.4358190392288957</v>
      </c>
      <c r="D29" s="390" t="n">
        <v>44.79</v>
      </c>
      <c r="E29" s="390" t="n">
        <v>0.4642172358397678</v>
      </c>
      <c r="F29" s="392" t="inlineStr">
        <is>
          <t>1/2 radius</t>
        </is>
      </c>
    </row>
    <row r="30" ht="18" customHeight="1">
      <c r="A30" s="393" t="n">
        <v>7.96</v>
      </c>
      <c r="B30" s="393" t="n">
        <v>45.26</v>
      </c>
      <c r="C30" s="393" t="n">
        <v>0.4690884593460123</v>
      </c>
      <c r="D30" s="393" t="n">
        <v>47.61</v>
      </c>
      <c r="E30" s="393" t="n">
        <v>0.4934445768772348</v>
      </c>
      <c r="F30" s="391" t="inlineStr">
        <is>
          <t>Edge -- smallest grains</t>
        </is>
      </c>
    </row>
    <row r="31" ht="22" customHeight="1">
      <c r="A31" s="284" t="inlineStr">
        <is>
          <t>Overall E_D range: 42.05-48.10 kJ/mol = 0.436-0.499 eV.  Key finding: grain size has NEGLIGIBLE effect on E_D. Main diffusion equation (edge, smallest grain): D = 1.03e-7 * exp(-46.44 kJ/mol / RT) m^2/s.</t>
        </is>
      </c>
      <c r="B31" s="334" t="n"/>
      <c r="C31" s="334" t="n"/>
      <c r="D31" s="334" t="n"/>
      <c r="E31" s="334" t="n"/>
      <c r="F31" s="334" t="n"/>
      <c r="G31" s="334" t="n"/>
      <c r="H31" s="335" t="n"/>
    </row>
    <row r="32" ht="8" customHeight="1"/>
    <row r="33" ht="20" customHeight="1">
      <c r="A33" s="394" t="inlineStr">
        <is>
          <t>TABLE 3 -- TRAP ACTIVATION ENERGIES (TDS, Membrane Samples, 14 days charging) -- CRITICAL</t>
        </is>
      </c>
      <c r="B33" s="334" t="n"/>
      <c r="C33" s="334" t="n"/>
      <c r="D33" s="334" t="n"/>
      <c r="E33" s="334" t="n"/>
      <c r="F33" s="334" t="n"/>
      <c r="G33" s="334" t="n"/>
      <c r="H33" s="335" t="n"/>
    </row>
    <row r="34" ht="28" customHeight="1">
      <c r="A34" s="349" t="inlineStr">
        <is>
          <t>Heating rates: 400, 800, 1000, 1200 K/h. Saturated samples. Peak 1 assignment: lattice interstitial sites + elastic stress field of dislocations. Peak 2 assignment: grain boundaries + dislocations at incoherent M6C/matrix interfaces.</t>
        </is>
      </c>
      <c r="B34" s="334" t="n"/>
      <c r="C34" s="334" t="n"/>
      <c r="D34" s="334" t="n"/>
      <c r="E34" s="334" t="n"/>
      <c r="F34" s="334" t="n"/>
      <c r="G34" s="334" t="n"/>
      <c r="H34" s="335" t="n"/>
    </row>
    <row r="35" ht="28" customHeight="1">
      <c r="A35" s="36" t="inlineStr">
        <is>
          <t>Grain Size (um)</t>
        </is>
      </c>
      <c r="B35" s="36" t="inlineStr">
        <is>
          <t>E(peak1) kJ/mol</t>
        </is>
      </c>
      <c r="C35" s="36" t="inlineStr">
        <is>
          <t>E(peak1) eV</t>
        </is>
      </c>
      <c r="D35" s="36" t="inlineStr">
        <is>
          <t>E(peak2) kJ/mol</t>
        </is>
      </c>
      <c r="E35" s="36" t="inlineStr">
        <is>
          <t>E(peak2) eV</t>
        </is>
      </c>
      <c r="F35" s="36" t="inlineStr">
        <is>
          <t>Physical assignment</t>
        </is>
      </c>
    </row>
    <row r="36" ht="20" customHeight="1">
      <c r="A36" s="395" t="n">
        <v>11.02</v>
      </c>
      <c r="B36" s="395" t="n">
        <v>17.92</v>
      </c>
      <c r="C36" s="395" t="n">
        <v>0.1857283515572369</v>
      </c>
      <c r="D36" s="395" t="n">
        <v>24.87</v>
      </c>
      <c r="E36" s="395" t="n">
        <v>0.2577602736176608</v>
      </c>
      <c r="F36" s="396" t="inlineStr">
        <is>
          <t>Center</t>
        </is>
      </c>
    </row>
    <row r="37" ht="20" customHeight="1">
      <c r="A37" s="397" t="n">
        <v>10.38</v>
      </c>
      <c r="B37" s="397" t="n">
        <v>18.05</v>
      </c>
      <c r="C37" s="397" t="n">
        <v>0.1870757112504534</v>
      </c>
      <c r="D37" s="397" t="n">
        <v>27.13</v>
      </c>
      <c r="E37" s="397" t="n">
        <v>0.2811836036689641</v>
      </c>
      <c r="F37" s="398" t="inlineStr">
        <is>
          <t>1/2 radius</t>
        </is>
      </c>
    </row>
    <row r="38" ht="20" customHeight="1">
      <c r="A38" s="395" t="n">
        <v>7.96</v>
      </c>
      <c r="B38" s="395" t="n">
        <v>20.73</v>
      </c>
      <c r="C38" s="395" t="n">
        <v>0.2148520495413795</v>
      </c>
      <c r="D38" s="395" t="n">
        <v>26.59</v>
      </c>
      <c r="E38" s="395" t="n">
        <v>0.2755868787894492</v>
      </c>
      <c r="F38" s="396" t="inlineStr">
        <is>
          <t>Edge</t>
        </is>
      </c>
    </row>
    <row r="39" ht="36" customHeight="1">
      <c r="A39" s="349" t="inlineStr">
        <is>
          <t>Peak 1 range (dislocation elastic field): 17.92-20.73 kJ/mol = 0.186-0.215 eV.  Peak 2 range (GB + carbide interface): 24.87-27.13 kJ/mol = 0.258-0.281 eV.  Key finding: grain size has negligible effect on trap energies.  Both peaks are REVERSIBLE traps (&lt; 58 kJ/mol irreversible threshold).  Peak 2 consistent with delta/gamma-prime/gamma-double-prime phases (23-37 kJ/mol lit. range).</t>
        </is>
      </c>
      <c r="B39" s="334" t="n"/>
      <c r="C39" s="334" t="n"/>
      <c r="D39" s="334" t="n"/>
      <c r="E39" s="334" t="n"/>
      <c r="F39" s="334" t="n"/>
      <c r="G39" s="334" t="n"/>
      <c r="H39" s="335" t="n"/>
    </row>
    <row r="40" ht="8" customHeight="1"/>
    <row r="41" ht="20" customHeight="1">
      <c r="A41" s="389" t="inlineStr">
        <is>
          <t>TABLE 4 -- ELECTROCHEMICAL PERMEATION DIFFUSIVITY (Devanathan-Stachursky, 60C)</t>
        </is>
      </c>
      <c r="B41" s="334" t="n"/>
      <c r="C41" s="334" t="n"/>
      <c r="D41" s="334" t="n"/>
      <c r="E41" s="334" t="n"/>
      <c r="F41" s="334" t="n"/>
      <c r="G41" s="334" t="n"/>
      <c r="H41" s="335" t="n"/>
    </row>
    <row r="42" ht="22" customHeight="1">
      <c r="A42" s="343" t="inlineStr">
        <is>
          <t>Oxidation side: 0.1 M NaOH, +300 mV vs SCE. Charging side: -20 mA/cm^2 + 0.2 g/L thiourea. D_tlag = L^2/(6*t_lag); D_tb = L^2/(15.3*t_b); L = membrane thickness.</t>
        </is>
      </c>
      <c r="B42" s="334" t="n"/>
      <c r="C42" s="334" t="n"/>
      <c r="D42" s="334" t="n"/>
      <c r="E42" s="334" t="n"/>
      <c r="F42" s="334" t="n"/>
      <c r="G42" s="334" t="n"/>
      <c r="H42" s="335" t="n"/>
    </row>
    <row r="43" ht="24" customHeight="1">
      <c r="A43" s="28" t="inlineStr">
        <is>
          <t>Grain Size (um)</t>
        </is>
      </c>
      <c r="B43" s="28" t="inlineStr">
        <is>
          <t>D_tlag (m^2/s)</t>
        </is>
      </c>
      <c r="C43" s="28" t="inlineStr">
        <is>
          <t>D_tb (m^2/s)</t>
        </is>
      </c>
      <c r="D43" s="28" t="inlineStr">
        <is>
          <t>Notes</t>
        </is>
      </c>
    </row>
    <row r="44" ht="18" customHeight="1">
      <c r="A44" s="393" t="n">
        <v>11.02</v>
      </c>
      <c r="B44" s="391" t="inlineStr">
        <is>
          <t>(2.13+/-0.31)e-14</t>
        </is>
      </c>
      <c r="C44" s="391" t="inlineStr">
        <is>
          <t>(2.10+/-0.12)e-14</t>
        </is>
      </c>
      <c r="D44" s="315" t="inlineStr">
        <is>
          <t>Center -- larger grains; shorter detection time; 10% higher SS current</t>
        </is>
      </c>
    </row>
    <row r="45" ht="18" customHeight="1">
      <c r="A45" s="390" t="n">
        <v>7.96</v>
      </c>
      <c r="B45" s="392" t="inlineStr">
        <is>
          <t>(1.75+/-0.11)e-14</t>
        </is>
      </c>
      <c r="C45" s="392" t="inlineStr">
        <is>
          <t>(1.57+/-0.26)e-14</t>
        </is>
      </c>
      <c r="D45" s="314" t="inlineStr">
        <is>
          <t>Edge -- smaller grains; more GB carbide trapping</t>
        </is>
      </c>
    </row>
    <row r="46" ht="28" customHeight="1">
      <c r="A46" s="322" t="inlineStr">
        <is>
          <t>Hot extraction D (H3PO4 electrolyte, edge): 5.1e-15 m^2/s -- ~3x lower than permeation D.  Discrepancy: H3PO4 causes surface plasticity + dislocation generation -&gt; extra traps -&gt; lower apparent D.  NaOH permeation: no surface modification.  Single crystal Ni (literature): 5.8e-14 m^2/s -- Alloy 625 is ~3-4x lower due to alloying.</t>
        </is>
      </c>
      <c r="B46" s="334" t="n"/>
      <c r="C46" s="334" t="n"/>
      <c r="D46" s="334" t="n"/>
      <c r="E46" s="334" t="n"/>
      <c r="F46" s="334" t="n"/>
      <c r="G46" s="334" t="n"/>
      <c r="H46" s="335" t="n"/>
    </row>
    <row r="47" ht="8" customHeight="1"/>
    <row r="48" ht="20" customHeight="1">
      <c r="A48" s="389" t="inlineStr">
        <is>
          <t>MODEL PARAMETER UPDATES FROM THIS PAPER</t>
        </is>
      </c>
      <c r="B48" s="334" t="n"/>
      <c r="C48" s="334" t="n"/>
      <c r="D48" s="334" t="n"/>
      <c r="E48" s="334" t="n"/>
      <c r="F48" s="334" t="n"/>
      <c r="G48" s="334" t="n"/>
      <c r="H48" s="335" t="n"/>
    </row>
    <row r="49" ht="24" customHeight="1">
      <c r="A49" s="28" t="inlineStr">
        <is>
          <t>Parameter</t>
        </is>
      </c>
      <c r="B49" s="28" t="inlineStr">
        <is>
          <t>Current placeholder</t>
        </is>
      </c>
      <c r="C49" s="28" t="inlineStr">
        <is>
          <t>Lu 2022 value</t>
        </is>
      </c>
      <c r="D49" s="28" t="inlineStr">
        <is>
          <t>Confidence</t>
        </is>
      </c>
      <c r="E49" s="28" t="inlineStr">
        <is>
          <t>Notes</t>
        </is>
      </c>
    </row>
    <row r="50" ht="22" customHeight="1">
      <c r="A50" s="399" t="inlineStr">
        <is>
          <t>dislocations: binding_energy</t>
        </is>
      </c>
      <c r="B50" s="399" t="inlineStr">
        <is>
          <t>0.70 eV</t>
        </is>
      </c>
      <c r="C50" s="399" t="inlineStr">
        <is>
          <t>0.186-0.215 eV (peak 1)</t>
        </is>
      </c>
      <c r="D50" s="385" t="inlineStr">
        <is>
          <t>High -- direct TDS measurement on Ni-Mo-Cr alloy</t>
        </is>
      </c>
      <c r="E50" s="385" t="inlineStr">
        <is>
          <t>Placeholder 3.3x too high. Use 0.186-0.215 eV range. Note: this is activation energy for detrapping.</t>
        </is>
      </c>
    </row>
    <row r="51" ht="22" customHeight="1">
      <c r="A51" s="400" t="inlineStr">
        <is>
          <t>grain_boundaries: binding_energy</t>
        </is>
      </c>
      <c r="B51" s="400" t="inlineStr">
        <is>
          <t>0.90 eV</t>
        </is>
      </c>
      <c r="C51" s="400" t="inlineStr">
        <is>
          <t>0.258-0.281 eV (peak 2)</t>
        </is>
      </c>
      <c r="D51" s="400" t="inlineStr">
        <is>
          <t>High -- direct measurement</t>
        </is>
      </c>
      <c r="E51" s="387" t="inlineStr">
        <is>
          <t>Includes GB + incoherent carbide interface contribution. Placeholder 3.4x too high.</t>
        </is>
      </c>
    </row>
    <row r="52" ht="22" customHeight="1">
      <c r="A52" s="399" t="inlineStr">
        <is>
          <t>Carbides: binding_energy</t>
        </is>
      </c>
      <c r="B52" s="399" t="inlineStr">
        <is>
          <t>0 eV</t>
        </is>
      </c>
      <c r="C52" s="385" t="inlineStr">
        <is>
          <t>0.258-0.281 eV (reversible, M6C interface)</t>
        </is>
      </c>
      <c r="D52" s="399" t="inlineStr">
        <is>
          <t>High -- direct measurement</t>
        </is>
      </c>
      <c r="E52" s="385" t="inlineStr">
        <is>
          <t>Below irreversible threshold. Use 0.26 eV for M6C in Hastelloy N.</t>
        </is>
      </c>
    </row>
    <row r="53" ht="22" customHeight="1">
      <c r="A53" s="400" t="inlineStr">
        <is>
          <t>Diffusion Ea (bulk)</t>
        </is>
      </c>
      <c r="B53" s="400" t="inlineStr">
        <is>
          <t>-- (not in trapping dict)</t>
        </is>
      </c>
      <c r="C53" s="400" t="inlineStr">
        <is>
          <t>0.436-0.499 eV</t>
        </is>
      </c>
      <c r="D53" s="400" t="inlineStr">
        <is>
          <t>High -- multiple grain sizes consistent</t>
        </is>
      </c>
      <c r="E53" s="387" t="inlineStr">
        <is>
          <t>Reference for L1/L2 bulk diffusion model in Ni-Cr-Mo alloy class.</t>
        </is>
      </c>
    </row>
    <row r="54" ht="12" customHeight="1"/>
  </sheetData>
  <mergeCells count="17">
    <mergeCell ref="A9:H9"/>
    <mergeCell ref="A1:H1"/>
    <mergeCell ref="A48:H48"/>
    <mergeCell ref="A3:H3"/>
    <mergeCell ref="A26:H26"/>
    <mergeCell ref="A39:H39"/>
    <mergeCell ref="A25:H25"/>
    <mergeCell ref="A2:H2"/>
    <mergeCell ref="A16:H16"/>
    <mergeCell ref="A42:H42"/>
    <mergeCell ref="A41:H41"/>
    <mergeCell ref="A33:H33"/>
    <mergeCell ref="A14:H14"/>
    <mergeCell ref="A5:H5"/>
    <mergeCell ref="A46:H46"/>
    <mergeCell ref="A31:H31"/>
    <mergeCell ref="A34:H34"/>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71"/>
  <sheetViews>
    <sheetView showGridLines="0" workbookViewId="0">
      <selection activeCell="A1" sqref="A1"/>
    </sheetView>
  </sheetViews>
  <sheetFormatPr baseColWidth="8" defaultRowHeight="15"/>
  <cols>
    <col width="30" customWidth="1" min="1" max="1"/>
    <col width="16" customWidth="1" min="2" max="2"/>
    <col width="14" customWidth="1" min="3" max="3"/>
    <col width="14" customWidth="1" min="4" max="4"/>
    <col width="14" customWidth="1" min="5" max="5"/>
    <col width="14" customWidth="1" min="6" max="6"/>
    <col width="14" customWidth="1" min="7" max="7"/>
    <col width="26" customWidth="1" min="8" max="8"/>
  </cols>
  <sheetData>
    <row r="1" ht="26" customHeight="1">
      <c r="A1" s="388" t="inlineStr">
        <is>
          <t>Zhou et al. 2016 -- Raw Data Extraction</t>
        </is>
      </c>
      <c r="B1" s="332" t="n"/>
      <c r="C1" s="332" t="n"/>
      <c r="D1" s="332" t="n"/>
      <c r="E1" s="332" t="n"/>
      <c r="F1" s="332" t="n"/>
      <c r="G1" s="332" t="n"/>
      <c r="H1" s="333" t="n"/>
    </row>
    <row r="2" ht="28" customHeight="1">
      <c r="A2" s="284" t="inlineStr">
        <is>
          <t>Zhou X, Marchand D, McDowell DL, Zhu T, Song J. "Chemomechanical Origin of Hydrogen Trapping at Grain Boundaries in fcc Metals." Physical Review Letters 116, 075502 (2016). DOI: 10.1103/PhysRevLett.116.075502.  Also: arXiv:1512.00746. Institutions: McGill University, Georgia Tech.</t>
        </is>
      </c>
      <c r="B2" s="334" t="n"/>
      <c r="C2" s="334" t="n"/>
      <c r="D2" s="334" t="n"/>
      <c r="E2" s="334" t="n"/>
      <c r="F2" s="334" t="n"/>
      <c r="G2" s="334" t="n"/>
      <c r="H2" s="335" t="n"/>
    </row>
    <row r="3" ht="36" customHeight="1">
      <c r="A3" s="337" t="inlineStr">
        <is>
          <t>KEY DATA: (1) E_ad(Ni OCT) = -2.24 to -2.26 eV (DFT-predicted vs actual). (2) Sigma3 GBs: zero trapping (composed of pristine BTE -- no distortion). (3) Sigma5 GBs: strong trapping driven by positive dVp/V0p. (4) Formula: E_ad = E0_ad - B*Omega_p*(dVp/V0p). (5) Omega_p(Ni) = 2.03 A^3 (GB) vs 2.28 A^3 (bulk) -- nearly equal.</t>
        </is>
      </c>
      <c r="B3" s="334" t="n"/>
      <c r="C3" s="334" t="n"/>
      <c r="D3" s="334" t="n"/>
      <c r="E3" s="334" t="n"/>
      <c r="F3" s="334" t="n"/>
      <c r="G3" s="334" t="n"/>
      <c r="H3" s="335" t="n"/>
    </row>
    <row r="4" ht="8" customHeight="1"/>
    <row r="5" ht="20" customHeight="1">
      <c r="A5" s="389" t="inlineStr">
        <is>
          <t>DFT COMPUTATIONAL SETUP (VASP)</t>
        </is>
      </c>
      <c r="B5" s="334" t="n"/>
      <c r="C5" s="334" t="n"/>
      <c r="D5" s="334" t="n"/>
      <c r="E5" s="334" t="n"/>
      <c r="F5" s="334" t="n"/>
      <c r="G5" s="334" t="n"/>
      <c r="H5" s="335" t="n"/>
    </row>
    <row r="6" ht="24" customHeight="1">
      <c r="A6" s="28" t="inlineStr">
        <is>
          <t>Parameter</t>
        </is>
      </c>
      <c r="B6" s="28" t="inlineStr">
        <is>
          <t>Value</t>
        </is>
      </c>
      <c r="C6" s="28" t="inlineStr">
        <is>
          <t>Notes</t>
        </is>
      </c>
    </row>
    <row r="7" ht="18" customHeight="1">
      <c r="A7" s="391" t="inlineStr">
        <is>
          <t>Software</t>
        </is>
      </c>
      <c r="B7" s="315" t="inlineStr">
        <is>
          <t>VASP (Vienna ab initio Simulation Package)</t>
        </is>
      </c>
      <c r="C7" s="391" t="inlineStr"/>
    </row>
    <row r="8" ht="18" customHeight="1">
      <c r="A8" s="392" t="inlineStr">
        <is>
          <t>Method</t>
        </is>
      </c>
      <c r="B8" s="392" t="inlineStr">
        <is>
          <t>DFT + PAW</t>
        </is>
      </c>
      <c r="C8" s="392" t="inlineStr">
        <is>
          <t>Projector augmented wave</t>
        </is>
      </c>
    </row>
    <row r="9" ht="18" customHeight="1">
      <c r="A9" s="391" t="inlineStr">
        <is>
          <t>Functional</t>
        </is>
      </c>
      <c r="B9" s="391" t="inlineStr">
        <is>
          <t>GGA-PBE</t>
        </is>
      </c>
      <c r="C9" s="315" t="inlineStr">
        <is>
          <t>Generalized gradient approximation, Perdew-Burke-Ernzerhof</t>
        </is>
      </c>
    </row>
    <row r="10" ht="18" customHeight="1">
      <c r="A10" s="392" t="inlineStr">
        <is>
          <t>k-point grid</t>
        </is>
      </c>
      <c r="B10" s="392" t="inlineStr">
        <is>
          <t>3 x 1 x 5</t>
        </is>
      </c>
      <c r="C10" s="392" t="inlineStr">
        <is>
          <t>GB supercell</t>
        </is>
      </c>
    </row>
    <row r="11" ht="18" customHeight="1">
      <c r="A11" s="391" t="inlineStr">
        <is>
          <t>Cutoff energy</t>
        </is>
      </c>
      <c r="B11" s="391" t="inlineStr">
        <is>
          <t>400 eV</t>
        </is>
      </c>
      <c r="C11" s="391" t="inlineStr"/>
    </row>
    <row r="12" ht="18" customHeight="1">
      <c r="A12" s="392" t="inlineStr">
        <is>
          <t>Force convergence</t>
        </is>
      </c>
      <c r="B12" s="392" t="inlineStr">
        <is>
          <t>&lt; 0.01 eV/A</t>
        </is>
      </c>
      <c r="C12" s="392" t="inlineStr">
        <is>
          <t>Atomic relaxation criterion</t>
        </is>
      </c>
    </row>
    <row r="13" ht="18" customHeight="1">
      <c r="A13" s="391" t="inlineStr">
        <is>
          <t>Vacuum layer</t>
        </is>
      </c>
      <c r="B13" s="391" t="inlineStr">
        <is>
          <t>10 A between periodic images</t>
        </is>
      </c>
      <c r="C13" s="391" t="inlineStr"/>
    </row>
    <row r="14" ht="18" customHeight="1">
      <c r="A14" s="392" t="inlineStr">
        <is>
          <t>ZPE correction</t>
        </is>
      </c>
      <c r="B14" s="392" t="inlineStr">
        <is>
          <t>Not included</t>
        </is>
      </c>
      <c r="C14" s="314" t="inlineStr">
        <is>
          <t>Preliminary tests: no change in trends, only small overall shift</t>
        </is>
      </c>
    </row>
    <row r="15" ht="18" customHeight="1">
      <c r="A15" s="391" t="inlineStr">
        <is>
          <t>Bulk supercell for properties</t>
        </is>
      </c>
      <c r="B15" s="391" t="inlineStr">
        <is>
          <t>3 x 3 x 3 = 108 host atoms</t>
        </is>
      </c>
      <c r="C15" s="391" t="inlineStr"/>
    </row>
    <row r="16" ht="18" customHeight="1">
      <c r="A16" s="392" t="inlineStr">
        <is>
          <t>GB types studied</t>
        </is>
      </c>
      <c r="B16" s="314" t="inlineStr">
        <is>
          <t>Sigma3,5,9,11,13,17,29,73 -- symmetric tilt GBs</t>
        </is>
      </c>
      <c r="C16" s="392" t="inlineStr">
        <is>
          <t>Full list in Methods section</t>
        </is>
      </c>
    </row>
    <row r="17" ht="18" customHeight="1">
      <c r="A17" s="391" t="inlineStr">
        <is>
          <t>Metals studied</t>
        </is>
      </c>
      <c r="B17" s="391" t="inlineStr">
        <is>
          <t>Ni, Cu, gamma-Fe, Pd</t>
        </is>
      </c>
      <c r="C17" s="391" t="inlineStr">
        <is>
          <t>All FCC</t>
        </is>
      </c>
    </row>
    <row r="18" ht="18" customHeight="1">
      <c r="A18" s="392" t="inlineStr">
        <is>
          <t>Voronoi fusion threshold (Ni)</t>
        </is>
      </c>
      <c r="B18" s="392" t="inlineStr">
        <is>
          <t>1.30 A</t>
        </is>
      </c>
      <c r="C18" s="314" t="inlineStr">
        <is>
          <t>Degenerate vertices within this distance fused</t>
        </is>
      </c>
    </row>
    <row r="19" ht="8" customHeight="1"/>
    <row r="20" ht="20" customHeight="1">
      <c r="A20" s="389" t="inlineStr">
        <is>
          <t>BULK MATERIAL PROPERTIES (Table S1 + Table I)</t>
        </is>
      </c>
      <c r="B20" s="334" t="n"/>
      <c r="C20" s="334" t="n"/>
      <c r="D20" s="334" t="n"/>
      <c r="E20" s="334" t="n"/>
      <c r="F20" s="334" t="n"/>
      <c r="G20" s="334" t="n"/>
      <c r="H20" s="335" t="n"/>
    </row>
    <row r="21" ht="24" customHeight="1">
      <c r="A21" s="28" t="inlineStr">
        <is>
          <t>Property</t>
        </is>
      </c>
      <c r="B21" s="28" t="inlineStr">
        <is>
          <t>Ni</t>
        </is>
      </c>
      <c r="C21" s="28" t="inlineStr">
        <is>
          <t>Cu</t>
        </is>
      </c>
      <c r="D21" s="28" t="inlineStr">
        <is>
          <t>gamma-Fe</t>
        </is>
      </c>
      <c r="E21" s="28" t="inlineStr">
        <is>
          <t>Pd</t>
        </is>
      </c>
      <c r="F21" s="28" t="inlineStr">
        <is>
          <t>Units</t>
        </is>
      </c>
      <c r="G21" s="28" t="inlineStr">
        <is>
          <t>Notes</t>
        </is>
      </c>
    </row>
    <row r="22" ht="18" customHeight="1">
      <c r="A22" s="391" t="inlineStr">
        <is>
          <t>a0 (lattice constant)</t>
        </is>
      </c>
      <c r="B22" s="393" t="n">
        <v>3.52</v>
      </c>
      <c r="C22" s="393" t="n">
        <v>3.64</v>
      </c>
      <c r="D22" s="393" t="n">
        <v>3.46</v>
      </c>
      <c r="E22" s="393" t="n">
        <v>3.95</v>
      </c>
      <c r="F22" s="391" t="inlineStr">
        <is>
          <t>A</t>
        </is>
      </c>
      <c r="G22" s="391" t="inlineStr">
        <is>
          <t>GGA-PBE values</t>
        </is>
      </c>
    </row>
    <row r="23" ht="18" customHeight="1">
      <c r="A23" s="392" t="inlineStr">
        <is>
          <t>B (bulk modulus)</t>
        </is>
      </c>
      <c r="B23" s="390" t="n">
        <v>195</v>
      </c>
      <c r="C23" s="390" t="n">
        <v>137</v>
      </c>
      <c r="D23" s="390" t="n">
        <v>281</v>
      </c>
      <c r="E23" s="390" t="n">
        <v>168</v>
      </c>
      <c r="F23" s="392" t="inlineStr">
        <is>
          <t>GPa</t>
        </is>
      </c>
      <c r="G23" s="314" t="inlineStr">
        <is>
          <t>Higher B = larger mechanical term in formula</t>
        </is>
      </c>
    </row>
    <row r="24" ht="18" customHeight="1">
      <c r="A24" s="391" t="inlineStr">
        <is>
          <t>Omega (bulk H partial volume)</t>
        </is>
      </c>
      <c r="B24" s="393" t="n">
        <v>2.28</v>
      </c>
      <c r="C24" s="393" t="n">
        <v>2.68</v>
      </c>
      <c r="D24" s="393" t="n">
        <v>2.07</v>
      </c>
      <c r="E24" s="393" t="n">
        <v>2.42</v>
      </c>
      <c r="F24" s="391" t="inlineStr">
        <is>
          <t>A^3</t>
        </is>
      </c>
      <c r="G24" s="391" t="inlineStr">
        <is>
          <t>Bulk interstitial partial volume</t>
        </is>
      </c>
    </row>
    <row r="25" ht="18" customHeight="1">
      <c r="A25" s="392" t="inlineStr">
        <is>
          <t>Omega_p (GB H partial volume)</t>
        </is>
      </c>
      <c r="B25" s="390" t="n">
        <v>2.03</v>
      </c>
      <c r="C25" s="390" t="n">
        <v>2.54</v>
      </c>
      <c r="D25" s="390" t="n">
        <v>1.76</v>
      </c>
      <c r="E25" s="390" t="n">
        <v>2.19</v>
      </c>
      <c r="F25" s="392" t="inlineStr">
        <is>
          <t>A^3</t>
        </is>
      </c>
      <c r="G25" s="392" t="inlineStr">
        <is>
          <t>Near-equal to Omega -- key result</t>
        </is>
      </c>
    </row>
    <row r="26" ht="18" customHeight="1">
      <c r="A26" s="391" t="inlineStr">
        <is>
          <t>Omega_p / Omega ratio</t>
        </is>
      </c>
      <c r="B26" s="393" t="n">
        <v>0.89</v>
      </c>
      <c r="C26" s="393" t="n">
        <v>0.948</v>
      </c>
      <c r="D26" s="393" t="n">
        <v>0.85</v>
      </c>
      <c r="E26" s="393" t="n">
        <v>0.905</v>
      </c>
      <c r="F26" s="391" t="inlineStr">
        <is>
          <t>dimensionless</t>
        </is>
      </c>
      <c r="G26" s="315" t="inlineStr">
        <is>
          <t>All ~0.89-0.95 -- confirms GB and bulk dilatation nearly identical</t>
        </is>
      </c>
    </row>
    <row r="27" ht="8" customHeight="1"/>
    <row r="28" ht="20" customHeight="1">
      <c r="A28" s="389" t="inlineStr">
        <is>
          <t>CHEMISORPTION ENERGIES E0_ad IN PRISTINE POLYHEDRONS (Table I)</t>
        </is>
      </c>
      <c r="B28" s="334" t="n"/>
      <c r="C28" s="334" t="n"/>
      <c r="D28" s="334" t="n"/>
      <c r="E28" s="334" t="n"/>
      <c r="F28" s="334" t="n"/>
      <c r="G28" s="334" t="n"/>
      <c r="H28" s="335" t="n"/>
    </row>
    <row r="29" ht="18" customHeight="1">
      <c r="A29" s="343" t="inlineStr">
        <is>
          <t>E0_ad = chemisorption energy of H in undistorted polyhedron (material + type specific constant). More negative = stronger chemisorption. OCT = standard bulk interstitial site.</t>
        </is>
      </c>
      <c r="B29" s="334" t="n"/>
      <c r="C29" s="334" t="n"/>
      <c r="D29" s="334" t="n"/>
      <c r="E29" s="334" t="n"/>
      <c r="F29" s="334" t="n"/>
      <c r="G29" s="334" t="n"/>
      <c r="H29" s="335" t="n"/>
    </row>
    <row r="30" ht="24" customHeight="1">
      <c r="A30" s="28" t="inlineStr">
        <is>
          <t>Polyhedron type</t>
        </is>
      </c>
      <c r="B30" s="28" t="inlineStr">
        <is>
          <t>Location</t>
        </is>
      </c>
      <c r="C30" s="28" t="inlineStr">
        <is>
          <t>Ni (eV)</t>
        </is>
      </c>
      <c r="D30" s="28" t="inlineStr">
        <is>
          <t>Cu (eV)</t>
        </is>
      </c>
      <c r="E30" s="28" t="inlineStr">
        <is>
          <t>gamma-Fe (eV)</t>
        </is>
      </c>
      <c r="F30" s="28" t="inlineStr">
        <is>
          <t>Pd (eV)</t>
        </is>
      </c>
      <c r="G30" s="28" t="inlineStr">
        <is>
          <t>Notes</t>
        </is>
      </c>
    </row>
    <row r="31" ht="18" customHeight="1">
      <c r="A31" s="391" t="inlineStr">
        <is>
          <t>TET (tetrahedron)</t>
        </is>
      </c>
      <c r="B31" s="391" t="inlineStr">
        <is>
          <t>Bulk FCC + GBs</t>
        </is>
      </c>
      <c r="C31" s="391" t="inlineStr">
        <is>
          <t>-2.11 (DFT:-2.06)</t>
        </is>
      </c>
      <c r="D31" s="391" t="inlineStr">
        <is>
          <t>-1.72 (-1.72)</t>
        </is>
      </c>
      <c r="E31" s="391" t="inlineStr">
        <is>
          <t>-1.82 (-1.87)</t>
        </is>
      </c>
      <c r="F31" s="391" t="inlineStr">
        <is>
          <t>-2.38 (-2.35)</t>
        </is>
      </c>
      <c r="G31" s="391" t="inlineStr"/>
    </row>
    <row r="32" ht="18" customHeight="1">
      <c r="A32" s="392" t="inlineStr">
        <is>
          <t>OCT (octahedron)</t>
        </is>
      </c>
      <c r="B32" s="392" t="inlineStr">
        <is>
          <t>Bulk FCC (standard H site)</t>
        </is>
      </c>
      <c r="C32" s="392" t="inlineStr">
        <is>
          <t>-2.24 (DFT:-2.26)</t>
        </is>
      </c>
      <c r="D32" s="392" t="inlineStr">
        <is>
          <t>-1.86 (-1.85)</t>
        </is>
      </c>
      <c r="E32" s="392" t="inlineStr">
        <is>
          <t>-2.14 (-2.18)</t>
        </is>
      </c>
      <c r="F32" s="392" t="inlineStr">
        <is>
          <t>-2.40 (-2.38)</t>
        </is>
      </c>
      <c r="G32" s="392" t="inlineStr">
        <is>
          <t>Most negative -- preferred bulk site</t>
        </is>
      </c>
    </row>
    <row r="33" ht="18" customHeight="1">
      <c r="A33" s="391" t="inlineStr">
        <is>
          <t>BTE (bi-tetrahedron)</t>
        </is>
      </c>
      <c r="B33" s="391" t="inlineStr">
        <is>
          <t>Coherent twin (Sigma3)</t>
        </is>
      </c>
      <c r="C33" s="391" t="inlineStr">
        <is>
          <t>-2.05 (-2.04)</t>
        </is>
      </c>
      <c r="D33" s="391" t="inlineStr">
        <is>
          <t>-1.73 (-1.70)</t>
        </is>
      </c>
      <c r="E33" s="391" t="inlineStr">
        <is>
          <t>-1.83 (-1.79)</t>
        </is>
      </c>
      <c r="F33" s="391" t="inlineStr">
        <is>
          <t>-2.27 (-2.30)</t>
        </is>
      </c>
      <c r="G33" s="315" t="inlineStr">
        <is>
          <t>Near-pristine at Sigma3 -- explains no trapping</t>
        </is>
      </c>
    </row>
    <row r="34" ht="18" customHeight="1">
      <c r="A34" s="392" t="inlineStr">
        <is>
          <t>PBP (pentagonal bipyramid)</t>
        </is>
      </c>
      <c r="B34" s="392" t="inlineStr">
        <is>
          <t>GB-specific</t>
        </is>
      </c>
      <c r="C34" s="392" t="inlineStr">
        <is>
          <t>-1.85</t>
        </is>
      </c>
      <c r="D34" s="392" t="inlineStr">
        <is>
          <t>--</t>
        </is>
      </c>
      <c r="E34" s="392" t="inlineStr">
        <is>
          <t>-1.79</t>
        </is>
      </c>
      <c r="F34" s="392" t="inlineStr">
        <is>
          <t>-2.06</t>
        </is>
      </c>
      <c r="G34" s="392" t="inlineStr">
        <is>
          <t>Least negative -- weakest chemisorption</t>
        </is>
      </c>
    </row>
    <row r="35" ht="18" customHeight="1">
      <c r="A35" s="391" t="inlineStr">
        <is>
          <t>CTP (cap trigonal prism)</t>
        </is>
      </c>
      <c r="B35" s="391" t="inlineStr">
        <is>
          <t>GB-specific</t>
        </is>
      </c>
      <c r="C35" s="391" t="inlineStr">
        <is>
          <t>-2.20</t>
        </is>
      </c>
      <c r="D35" s="391" t="inlineStr">
        <is>
          <t>-1.75</t>
        </is>
      </c>
      <c r="E35" s="391" t="inlineStr">
        <is>
          <t>-2.04</t>
        </is>
      </c>
      <c r="F35" s="391" t="inlineStr">
        <is>
          <t>-2.18</t>
        </is>
      </c>
      <c r="G35" s="391" t="inlineStr"/>
    </row>
    <row r="36" ht="8" customHeight="1"/>
    <row r="37" ht="20" customHeight="1">
      <c r="A37" s="389" t="inlineStr">
        <is>
          <t>CORE CHEMOMECHANICAL FORMULA (Eq. 4)</t>
        </is>
      </c>
      <c r="B37" s="334" t="n"/>
      <c r="C37" s="334" t="n"/>
      <c r="D37" s="334" t="n"/>
      <c r="E37" s="334" t="n"/>
      <c r="F37" s="334" t="n"/>
      <c r="G37" s="334" t="n"/>
      <c r="H37" s="335" t="n"/>
    </row>
    <row r="38" ht="54" customHeight="1">
      <c r="A38" s="379" t="inlineStr">
        <is>
          <t>E_ad = E0_ad - B * Omega_p * (dVp / V0p)  [Eq. 4]  E0_ad = pristine chemisorption (chemical term, polyhedron-type + metal specific).  B * Omega_p * (dVp/V0p) = mechanical interaction energy (geometry-driven).  dVp/V0p = normalized volume distortion of actual polyhedron vs pristine reference.  Positive dVp/V0p (expanded polyhedron) -&gt; more negative E_ad -&gt; stronger trapping.  V0p = volume of deltahedron with edge length = sqrt(2) * a0/2.</t>
        </is>
      </c>
      <c r="B38" s="334" t="n"/>
      <c r="C38" s="334" t="n"/>
      <c r="D38" s="334" t="n"/>
      <c r="E38" s="334" t="n"/>
      <c r="F38" s="334" t="n"/>
      <c r="G38" s="334" t="n"/>
      <c r="H38" s="335" t="n"/>
    </row>
    <row r="39" ht="24" customHeight="1">
      <c r="A39" s="28" t="inlineStr">
        <is>
          <t>Term</t>
        </is>
      </c>
      <c r="B39" s="28" t="inlineStr">
        <is>
          <t>Symbol</t>
        </is>
      </c>
      <c r="C39" s="28" t="inlineStr">
        <is>
          <t>Ni value</t>
        </is>
      </c>
      <c r="D39" s="28" t="inlineStr">
        <is>
          <t>Physical meaning</t>
        </is>
      </c>
      <c r="E39" s="28" t="inlineStr">
        <is>
          <t>Notes</t>
        </is>
      </c>
    </row>
    <row r="40" ht="18" customHeight="1">
      <c r="A40" s="391" t="inlineStr">
        <is>
          <t>Bulk modulus</t>
        </is>
      </c>
      <c r="B40" s="391" t="inlineStr">
        <is>
          <t>B</t>
        </is>
      </c>
      <c r="C40" s="391" t="inlineStr">
        <is>
          <t>195 GPa</t>
        </is>
      </c>
      <c r="D40" s="391" t="inlineStr">
        <is>
          <t>Mechanical resistance to H insertion</t>
        </is>
      </c>
      <c r="E40" s="391" t="inlineStr">
        <is>
          <t>Material constant</t>
        </is>
      </c>
    </row>
    <row r="41" ht="18" customHeight="1">
      <c r="A41" s="392" t="inlineStr">
        <is>
          <t>GB partial volume</t>
        </is>
      </c>
      <c r="B41" s="392" t="inlineStr">
        <is>
          <t>Omega_p</t>
        </is>
      </c>
      <c r="C41" s="392" t="inlineStr">
        <is>
          <t>2.03 A^3 (Ni)</t>
        </is>
      </c>
      <c r="D41" s="392" t="inlineStr">
        <is>
          <t>Volume H inserts at GB site</t>
        </is>
      </c>
      <c r="E41" s="392" t="inlineStr">
        <is>
          <t>~= bulk Omega = 2.28 A^3</t>
        </is>
      </c>
    </row>
    <row r="42" ht="18" customHeight="1">
      <c r="A42" s="391" t="inlineStr">
        <is>
          <t>Volume distortion</t>
        </is>
      </c>
      <c r="B42" s="391" t="inlineStr">
        <is>
          <t>dVp/V0p</t>
        </is>
      </c>
      <c r="C42" s="391" t="inlineStr">
        <is>
          <t>0 (Sigma3) to ~+0.3 (Sigma73)</t>
        </is>
      </c>
      <c r="D42" s="391" t="inlineStr">
        <is>
          <t>Local lattice strain at polyhedron</t>
        </is>
      </c>
      <c r="E42" s="391" t="inlineStr">
        <is>
          <t>Key variable -- from geometry only</t>
        </is>
      </c>
    </row>
    <row r="43" ht="18" customHeight="1">
      <c r="A43" s="392" t="inlineStr">
        <is>
          <t>Chemisorption reference</t>
        </is>
      </c>
      <c r="B43" s="392" t="inlineStr">
        <is>
          <t>E0_ad(OCT)</t>
        </is>
      </c>
      <c r="C43" s="392" t="inlineStr">
        <is>
          <t>~-2.25 eV (Ni)</t>
        </is>
      </c>
      <c r="D43" s="392" t="inlineStr">
        <is>
          <t>Chemical bonding term</t>
        </is>
      </c>
      <c r="E43" s="392" t="inlineStr">
        <is>
          <t>OCT = standard bulk Ni value</t>
        </is>
      </c>
    </row>
    <row r="44" ht="18" customHeight="1">
      <c r="A44" s="391" t="inlineStr">
        <is>
          <t>Segregation energy</t>
        </is>
      </c>
      <c r="B44" s="391" t="inlineStr">
        <is>
          <t>E_sg = E_ad(GB) - E_ad(bulk)</t>
        </is>
      </c>
      <c r="C44" s="391" t="inlineStr">
        <is>
          <t>0 (Sigma3) to ~0.4 eV (Sigma73)</t>
        </is>
      </c>
      <c r="D44" s="391" t="inlineStr">
        <is>
          <t>GB trapping strength relative to bulk</t>
        </is>
      </c>
      <c r="E44" s="391" t="inlineStr">
        <is>
          <t>Positive = trapping; 0 = no trapping</t>
        </is>
      </c>
    </row>
    <row r="45" ht="8" customHeight="1"/>
    <row r="46" ht="20" customHeight="1">
      <c r="A46" s="389" t="inlineStr">
        <is>
          <t>GB-SPECIFIC STRUCTURAL AND TRAPPING RESULTS</t>
        </is>
      </c>
      <c r="B46" s="334" t="n"/>
      <c r="C46" s="334" t="n"/>
      <c r="D46" s="334" t="n"/>
      <c r="E46" s="334" t="n"/>
      <c r="F46" s="334" t="n"/>
      <c r="G46" s="334" t="n"/>
      <c r="H46" s="335" t="n"/>
    </row>
    <row r="47" ht="26" customHeight="1">
      <c r="A47" s="28" t="inlineStr">
        <is>
          <t>GB type</t>
        </is>
      </c>
      <c r="B47" s="28" t="inlineStr">
        <is>
          <t>Polyhedron structure</t>
        </is>
      </c>
      <c r="C47" s="28" t="inlineStr">
        <is>
          <t>Volume distortion</t>
        </is>
      </c>
      <c r="D47" s="28" t="inlineStr">
        <is>
          <t>H trapping</t>
        </is>
      </c>
      <c r="E47" s="28" t="inlineStr">
        <is>
          <t>W_c vs c0</t>
        </is>
      </c>
      <c r="F47" s="28" t="inlineStr">
        <is>
          <t>HE susceptibility</t>
        </is>
      </c>
      <c r="G47" s="28" t="inlineStr">
        <is>
          <t>Notes</t>
        </is>
      </c>
    </row>
    <row r="48" ht="20" customHeight="1">
      <c r="A48" s="392" t="inlineStr">
        <is>
          <t>Sigma3 (111)[110]</t>
        </is>
      </c>
      <c r="B48" s="392" t="inlineStr">
        <is>
          <t>Pristine BTE only</t>
        </is>
      </c>
      <c r="C48" s="392" t="inlineStr">
        <is>
          <t>~0 (no distortion)</t>
        </is>
      </c>
      <c r="D48" s="392" t="inlineStr">
        <is>
          <t>Negligible</t>
        </is>
      </c>
      <c r="E48" s="392" t="inlineStr">
        <is>
          <t>Flat (invariant to c0=10000 appm)</t>
        </is>
      </c>
      <c r="F48" s="392" t="inlineStr">
        <is>
          <t>Most resistant</t>
        </is>
      </c>
      <c r="G48" s="392" t="inlineStr">
        <is>
          <t>Coherent twin -- zero trapping</t>
        </is>
      </c>
    </row>
    <row r="49" ht="20" customHeight="1">
      <c r="A49" s="391" t="inlineStr">
        <is>
          <t>Sigma11 (113)[110]</t>
        </is>
      </c>
      <c r="B49" s="391" t="inlineStr">
        <is>
          <t>Near-pristine CTP</t>
        </is>
      </c>
      <c r="C49" s="391" t="inlineStr">
        <is>
          <t>~0 (negligible distortion)</t>
        </is>
      </c>
      <c r="D49" s="391" t="inlineStr">
        <is>
          <t>Negligible</t>
        </is>
      </c>
      <c r="E49" s="391" t="inlineStr">
        <is>
          <t>Very small drop</t>
        </is>
      </c>
      <c r="F49" s="391" t="inlineStr">
        <is>
          <t>Resistant (similar to Sigma3)</t>
        </is>
      </c>
      <c r="G49" s="391" t="inlineStr">
        <is>
          <t>Behaves like Sigma3</t>
        </is>
      </c>
    </row>
    <row r="50" ht="20" customHeight="1">
      <c r="A50" s="401" t="inlineStr">
        <is>
          <t>Sigma5 (130)[100]</t>
        </is>
      </c>
      <c r="B50" s="401" t="inlineStr">
        <is>
          <t>Mixed PBP + CTP</t>
        </is>
      </c>
      <c r="C50" s="401" t="inlineStr">
        <is>
          <t>Moderate positive dVp/V0p</t>
        </is>
      </c>
      <c r="D50" s="401" t="inlineStr">
        <is>
          <t>Significant</t>
        </is>
      </c>
      <c r="E50" s="401" t="inlineStr">
        <is>
          <t>Noticeable drop</t>
        </is>
      </c>
      <c r="F50" s="401" t="inlineStr">
        <is>
          <t>Susceptible</t>
        </is>
      </c>
      <c r="G50" s="401" t="inlineStr">
        <is>
          <t>Random/disordered boundary</t>
        </is>
      </c>
    </row>
    <row r="51" ht="20" customHeight="1">
      <c r="A51" s="402" t="inlineStr">
        <is>
          <t>Sigma17 (140)[100]</t>
        </is>
      </c>
      <c r="B51" s="402" t="inlineStr">
        <is>
          <t>Distorted polyhedrons</t>
        </is>
      </c>
      <c r="C51" s="402" t="inlineStr">
        <is>
          <t>Significant positive</t>
        </is>
      </c>
      <c r="D51" s="402" t="inlineStr">
        <is>
          <t>Strong</t>
        </is>
      </c>
      <c r="E51" s="402" t="inlineStr">
        <is>
          <t>Clear drop</t>
        </is>
      </c>
      <c r="F51" s="402" t="inlineStr">
        <is>
          <t>Susceptible</t>
        </is>
      </c>
      <c r="G51" s="403" t="inlineStr">
        <is>
          <t>Still "special" by Sigma&lt;29 -- but HE susceptible</t>
        </is>
      </c>
    </row>
    <row r="52" ht="20" customHeight="1">
      <c r="A52" s="404" t="inlineStr">
        <is>
          <t>Sigma73 (380)[100]</t>
        </is>
      </c>
      <c r="B52" s="404" t="inlineStr">
        <is>
          <t>Highly distorted</t>
        </is>
      </c>
      <c r="C52" s="404" t="inlineStr">
        <is>
          <t>Largest positive dVp/V0p</t>
        </is>
      </c>
      <c r="D52" s="404" t="inlineStr">
        <is>
          <t>Strongest</t>
        </is>
      </c>
      <c r="E52" s="404" t="inlineStr">
        <is>
          <t>Sharp drop from c0=1 appm</t>
        </is>
      </c>
      <c r="F52" s="404" t="inlineStr">
        <is>
          <t>Most susceptible</t>
        </is>
      </c>
      <c r="G52" s="404" t="inlineStr">
        <is>
          <t>High-angle random boundary</t>
        </is>
      </c>
    </row>
    <row r="53" ht="28" customHeight="1">
      <c r="A53" s="322" t="inlineStr">
        <is>
          <t>Critical implication: CSL definition "special = Sigma &lt; 29" is ambiguous for HE. Sigma17 (Sigma&lt;29) still HE-susceptible. Proposed redefinition: special GBs for HE = those with overall polyhedron distortion below a critical threshold. Sigma3 and Sigma11 clearly pass. Sigma17 does not.</t>
        </is>
      </c>
      <c r="B53" s="334" t="n"/>
      <c r="C53" s="334" t="n"/>
      <c r="D53" s="334" t="n"/>
      <c r="E53" s="334" t="n"/>
      <c r="F53" s="334" t="n"/>
      <c r="G53" s="334" t="n"/>
      <c r="H53" s="335" t="n"/>
    </row>
    <row r="54" ht="8" customHeight="1"/>
    <row r="55" ht="20" customHeight="1">
      <c r="A55" s="389" t="inlineStr">
        <is>
          <t>H ADSORPTION ENERGY RANGES AT GBs (Fig. 3, DFT values)</t>
        </is>
      </c>
      <c r="B55" s="334" t="n"/>
      <c r="C55" s="334" t="n"/>
      <c r="D55" s="334" t="n"/>
      <c r="E55" s="334" t="n"/>
      <c r="F55" s="334" t="n"/>
      <c r="G55" s="334" t="n"/>
      <c r="H55" s="335" t="n"/>
    </row>
    <row r="56" ht="24" customHeight="1">
      <c r="A56" s="28" t="inlineStr">
        <is>
          <t>Metal</t>
        </is>
      </c>
      <c r="B56" s="28" t="inlineStr">
        <is>
          <t>E_ad range (eV)</t>
        </is>
      </c>
      <c r="C56" s="28" t="inlineStr">
        <is>
          <t>Spread (eV)</t>
        </is>
      </c>
      <c r="D56" s="28" t="inlineStr">
        <is>
          <t>Note</t>
        </is>
      </c>
    </row>
    <row r="57" ht="18" customHeight="1">
      <c r="A57" s="391" t="inlineStr">
        <is>
          <t>Ni</t>
        </is>
      </c>
      <c r="B57" s="391" t="inlineStr">
        <is>
          <t>~-1.8 to -2.6</t>
        </is>
      </c>
      <c r="C57" s="391" t="inlineStr">
        <is>
          <t>~0.8</t>
        </is>
      </c>
      <c r="D57" s="315" t="inlineStr">
        <is>
          <t>Full range across all GB types and polyhedrons</t>
        </is>
      </c>
    </row>
    <row r="58" ht="18" customHeight="1">
      <c r="A58" s="392" t="inlineStr">
        <is>
          <t>Cu</t>
        </is>
      </c>
      <c r="B58" s="392" t="inlineStr">
        <is>
          <t>~-1.5 to -2.2</t>
        </is>
      </c>
      <c r="C58" s="392" t="inlineStr">
        <is>
          <t>~0.7</t>
        </is>
      </c>
      <c r="D58" s="392" t="inlineStr"/>
    </row>
    <row r="59" ht="18" customHeight="1">
      <c r="A59" s="391" t="inlineStr">
        <is>
          <t>gamma-Fe</t>
        </is>
      </c>
      <c r="B59" s="391" t="inlineStr">
        <is>
          <t>~-0.8 to -2.4</t>
        </is>
      </c>
      <c r="C59" s="391" t="inlineStr">
        <is>
          <t>~1.6</t>
        </is>
      </c>
      <c r="D59" s="315" t="inlineStr">
        <is>
          <t>Larger spread due to higher B (281 GPa) amplifying mechanical term</t>
        </is>
      </c>
    </row>
    <row r="60" ht="18" customHeight="1">
      <c r="A60" s="392" t="inlineStr">
        <is>
          <t>Pd</t>
        </is>
      </c>
      <c r="B60" s="392" t="inlineStr">
        <is>
          <t>~-2.0 to -2.8</t>
        </is>
      </c>
      <c r="C60" s="392" t="inlineStr">
        <is>
          <t>~0.8</t>
        </is>
      </c>
      <c r="D60" s="392" t="inlineStr"/>
    </row>
    <row r="61" ht="8" customHeight="1"/>
    <row r="62" ht="20" customHeight="1">
      <c r="A62" s="389" t="inlineStr">
        <is>
          <t>QUANTITATIVE CONSISTENCY CHECK WITH Lu 2022 (Alloy 625 TDS)</t>
        </is>
      </c>
      <c r="B62" s="334" t="n"/>
      <c r="C62" s="334" t="n"/>
      <c r="D62" s="334" t="n"/>
      <c r="E62" s="334" t="n"/>
      <c r="F62" s="334" t="n"/>
      <c r="G62" s="334" t="n"/>
      <c r="H62" s="335" t="n"/>
    </row>
    <row r="63" ht="54" customHeight="1">
      <c r="A63" s="337" t="inlineStr">
        <is>
          <t>Lu 2022 peak 2 (GB + M6C interface): 24.87-27.13 kJ/mol = 0.258-0.281 eV.  Zhou 2016 framework: E_sg for Sigma5-type (random HAGB) = positive, nonzero.  The Lu 2022 peak 2 represents the contribution of random HAGBs (Sigma5-like) which are the remaining ~50% after the ~50% Sigma3 twin boundaries contribute negligible trapping.  Quantitative consistency: Zhou predicts Sigma3 contributes ~0 and random GBs contribute up to ~0.3 eV -- which aligns with Lu measured 0.26-0.28 eV for the non-Sigma3 GB fraction.  These two datasets are now quantitatively coherent through the Zhou framework.</t>
        </is>
      </c>
      <c r="B63" s="334" t="n"/>
      <c r="C63" s="334" t="n"/>
      <c r="D63" s="334" t="n"/>
      <c r="E63" s="334" t="n"/>
      <c r="F63" s="334" t="n"/>
      <c r="G63" s="334" t="n"/>
      <c r="H63" s="335" t="n"/>
    </row>
    <row r="64" ht="8" customHeight="1"/>
    <row r="65" ht="20" customHeight="1">
      <c r="A65" s="389" t="inlineStr">
        <is>
          <t>IMPLICATIONS FOR TRAPPING DICTIONARY</t>
        </is>
      </c>
      <c r="B65" s="334" t="n"/>
      <c r="C65" s="334" t="n"/>
      <c r="D65" s="334" t="n"/>
      <c r="E65" s="334" t="n"/>
      <c r="F65" s="334" t="n"/>
      <c r="G65" s="334" t="n"/>
      <c r="H65" s="335" t="n"/>
    </row>
    <row r="66" ht="24" customHeight="1">
      <c r="A66" s="28" t="inlineStr">
        <is>
          <t>Observation</t>
        </is>
      </c>
      <c r="B66" s="28" t="inlineStr">
        <is>
          <t>Implication for model</t>
        </is>
      </c>
      <c r="C66" s="28" t="inlineStr">
        <is>
          <t>Confidence</t>
        </is>
      </c>
    </row>
    <row r="67" ht="22" customHeight="1">
      <c r="A67" s="391" t="inlineStr">
        <is>
          <t>Sigma3 GBs: E_sg ~= 0</t>
        </is>
      </c>
      <c r="B67" s="315" t="inlineStr">
        <is>
          <t>gb_type = LAGB or coherent: set grain_boundaries binding_energy ~= 0 eV</t>
        </is>
      </c>
      <c r="C67" s="391" t="inlineStr">
        <is>
          <t>High -- DFT result for Ni Sigma3</t>
        </is>
      </c>
    </row>
    <row r="68" ht="22" customHeight="1">
      <c r="A68" s="392" t="inlineStr">
        <is>
          <t>Sigma5/random HAGBs: E_sg ~0.1-0.3 eV</t>
        </is>
      </c>
      <c r="B68" s="314" t="inlineStr">
        <is>
          <t>grain_boundaries binding_energy = 0.258-0.281 eV (from Lu 2022 peak 2)</t>
        </is>
      </c>
      <c r="C68" s="392" t="inlineStr">
        <is>
          <t>High -- DFT + TDS consistent</t>
        </is>
      </c>
    </row>
    <row r="69" ht="22" customHeight="1">
      <c r="A69" s="391" t="inlineStr">
        <is>
          <t>Omega_p ~= Omega_bulk</t>
        </is>
      </c>
      <c r="B69" s="315" t="inlineStr">
        <is>
          <t>Same dilatation parameter for bulk and GB -- simplifies L3-L5 coupling</t>
        </is>
      </c>
      <c r="C69" s="391" t="inlineStr">
        <is>
          <t>High -- confirmed for all 4 FCC metals</t>
        </is>
      </c>
    </row>
    <row r="70" ht="22" customHeight="1">
      <c r="A70" s="392" t="inlineStr">
        <is>
          <t>Volume distortion drives trapping</t>
        </is>
      </c>
      <c r="B70" s="314" t="inlineStr">
        <is>
          <t>Mo-rich M6C carbides in Hastelloy N create incoherent interfaces with lattice mismatch -&gt; positive dVp/V0p -&gt; trapping at interface (consistent with Lu 2022 peak 2)</t>
        </is>
      </c>
      <c r="C70" s="392" t="inlineStr">
        <is>
          <t>Medium -- inference from framework</t>
        </is>
      </c>
    </row>
    <row r="71" ht="22" customHeight="1">
      <c r="A71" s="391" t="inlineStr">
        <is>
          <t>Redefine special GBs for HE</t>
        </is>
      </c>
      <c r="B71" s="315" t="inlineStr">
        <is>
          <t>gb_type LAGB/Sigma3 = negligible; gb_type HAGB random = use 0.26 eV from Lu 2022</t>
        </is>
      </c>
      <c r="C71" s="391" t="inlineStr">
        <is>
          <t>Medium-High</t>
        </is>
      </c>
    </row>
    <row r="72" ht="12" customHeight="1"/>
  </sheetData>
  <mergeCells count="15">
    <mergeCell ref="A1:H1"/>
    <mergeCell ref="A62:H62"/>
    <mergeCell ref="A3:H3"/>
    <mergeCell ref="A53:H53"/>
    <mergeCell ref="A55:H55"/>
    <mergeCell ref="A29:H29"/>
    <mergeCell ref="A46:H46"/>
    <mergeCell ref="A65:H65"/>
    <mergeCell ref="A20:H20"/>
    <mergeCell ref="A38:H38"/>
    <mergeCell ref="A2:H2"/>
    <mergeCell ref="A63:H63"/>
    <mergeCell ref="A28:H28"/>
    <mergeCell ref="A5:H5"/>
    <mergeCell ref="A37:H37"/>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73"/>
  <sheetViews>
    <sheetView showGridLines="0" workbookViewId="0">
      <selection activeCell="A1" sqref="A1"/>
    </sheetView>
  </sheetViews>
  <sheetFormatPr baseColWidth="8" defaultRowHeight="15"/>
  <cols>
    <col width="30" customWidth="1" min="1" max="1"/>
    <col width="18" customWidth="1" min="2" max="2"/>
    <col width="18" customWidth="1" min="3" max="3"/>
    <col width="18" customWidth="1" min="4" max="4"/>
    <col width="14" customWidth="1" min="5" max="5"/>
    <col width="16" customWidth="1" min="6" max="6"/>
    <col width="22" customWidth="1" min="7" max="7"/>
    <col width="34" customWidth="1" min="8" max="8"/>
  </cols>
  <sheetData>
    <row r="1" ht="26" customHeight="1">
      <c r="A1" s="405" t="inlineStr">
        <is>
          <t>Microstructure &amp; Trapping Parameters -- Analysis, Defaults and Sensitivity</t>
        </is>
      </c>
    </row>
    <row r="2" ht="28" customHeight="1">
      <c r="A2" s="284" t="inlineStr">
        <is>
          <t>Sources: Zhu 2021 (Has-N EBSD creep, Materialia 16:101069) | Tateyama 2003 (H-V DFT alpha-Fe, PRB 67:174105) | Young 1997 (carbide TDS Ni-17Cr-8Fe, Scr. Mater. 36:713) | Lu 2022 (TDS Alloy 625, IJHE 47:31673) | Zhou 2016 (chemomechanical GB DFT FCC, PRL 116:075502) | Jain 2026 (DFT+KMC+FEM polycrystalline Ni, arXiv:2601.05917).</t>
        </is>
      </c>
    </row>
    <row r="3" ht="22" customHeight="1">
      <c r="A3" s="285" t="inlineStr">
        <is>
          <t>Target material: Hastelloy N (Ni-15Mo-7Cr-4Fe), solution-annealed, in-service at 900-973 K.  All parameters refer to the as-received / low-damage condition unless stated otherwise.  Code reference: MICROSTRUCTURE dictionary in permeation model.</t>
        </is>
      </c>
    </row>
    <row r="4" ht="8" customHeight="1"/>
    <row r="5" ht="20" customHeight="1">
      <c r="A5" s="406" t="inlineStr">
        <is>
          <t>SECTION 1 -- GRAIN STRUCTURE PARAMETERS</t>
        </is>
      </c>
    </row>
    <row r="6" ht="28" customHeight="1">
      <c r="A6" s="28" t="inlineStr">
        <is>
          <t>Parameter</t>
        </is>
      </c>
      <c r="B6" s="28" t="inlineStr">
        <is>
          <t>Code key</t>
        </is>
      </c>
      <c r="C6" s="28" t="inlineStr">
        <is>
          <t>Placeholder</t>
        </is>
      </c>
      <c r="D6" s="28" t="inlineStr">
        <is>
          <t>Literature value</t>
        </is>
      </c>
      <c r="E6" s="28" t="inlineStr">
        <is>
          <t>Primary source</t>
        </is>
      </c>
      <c r="F6" s="28" t="inlineStr">
        <is>
          <t>Confidence</t>
        </is>
      </c>
      <c r="G6" s="28" t="inlineStr">
        <is>
          <t>Change required?</t>
        </is>
      </c>
      <c r="H6" s="28" t="inlineStr">
        <is>
          <t>Notes</t>
        </is>
      </c>
    </row>
    <row r="7" ht="22" customHeight="1">
      <c r="A7" s="407" t="inlineStr">
        <is>
          <t>Grain size</t>
        </is>
      </c>
      <c r="B7" s="407" t="inlineStr">
        <is>
          <t>grain_size</t>
        </is>
      </c>
      <c r="C7" s="407" t="inlineStr">
        <is>
          <t>50e-6 m</t>
        </is>
      </c>
      <c r="D7" s="407" t="inlineStr">
        <is>
          <t>50-150 um (midpoint 100 um)</t>
        </is>
      </c>
      <c r="E7" s="407" t="inlineStr">
        <is>
          <t>Zhu 2021 EBSD</t>
        </is>
      </c>
      <c r="F7" s="407" t="inlineStr">
        <is>
          <t>High</t>
        </is>
      </c>
      <c r="G7" s="407" t="inlineStr">
        <is>
          <t>YES -- use 100e-6</t>
        </is>
      </c>
      <c r="H7" s="326" t="inlineStr">
        <is>
          <t>Solution-annealed Has-N: equiaxed 50-150 um confirmed by EBSD (Zeiss Ultra Plus, 150 nm step).</t>
        </is>
      </c>
    </row>
    <row r="8" ht="22" customHeight="1">
      <c r="A8" s="408" t="inlineStr">
        <is>
          <t>GB thickness</t>
        </is>
      </c>
      <c r="B8" s="408" t="inlineStr">
        <is>
          <t>gb_thickness</t>
        </is>
      </c>
      <c r="C8" s="408" t="inlineStr">
        <is>
          <t>0.5e-9 m</t>
        </is>
      </c>
      <c r="D8" s="408" t="inlineStr">
        <is>
          <t>~0.5-1.0 nm (standard assumption)</t>
        </is>
      </c>
      <c r="E8" s="408" t="inlineStr">
        <is>
          <t>No direct measurement in DB</t>
        </is>
      </c>
      <c r="F8" s="408" t="inlineStr">
        <is>
          <t>Low</t>
        </is>
      </c>
      <c r="G8" s="408" t="inlineStr">
        <is>
          <t>NO (keep 0.5e-9)</t>
        </is>
      </c>
      <c r="H8" s="315" t="inlineStr">
        <is>
          <t>0.5 nm is standard literature assumption for GB thickness. No Has-N specific measurement available.</t>
        </is>
      </c>
    </row>
    <row r="9" ht="22" customHeight="1">
      <c r="A9" s="409" t="inlineStr">
        <is>
          <t>Grain shape</t>
        </is>
      </c>
      <c r="B9" s="409" t="inlineStr">
        <is>
          <t>grain_shape</t>
        </is>
      </c>
      <c r="C9" s="409" t="inlineStr">
        <is>
          <t>equiaxed</t>
        </is>
      </c>
      <c r="D9" s="409" t="inlineStr">
        <is>
          <t>equiaxed -- CONFIRMED</t>
        </is>
      </c>
      <c r="E9" s="409" t="inlineStr">
        <is>
          <t>Zhu 2021 EBSD</t>
        </is>
      </c>
      <c r="F9" s="409" t="inlineStr">
        <is>
          <t>High</t>
        </is>
      </c>
      <c r="G9" s="409" t="inlineStr">
        <is>
          <t>NO (confirmed correct)</t>
        </is>
      </c>
      <c r="H9" s="314" t="inlineStr">
        <is>
          <t>EBSD confirms equiaxed morphology in solution-annealed plate. Carbide stringers along rolling direction.</t>
        </is>
      </c>
    </row>
    <row r="10" ht="22" customHeight="1">
      <c r="A10" s="407" t="inlineStr">
        <is>
          <t>GB type</t>
        </is>
      </c>
      <c r="B10" s="407" t="inlineStr">
        <is>
          <t>gb_type</t>
        </is>
      </c>
      <c r="C10" s="407" t="inlineStr">
        <is>
          <t>LAGB</t>
        </is>
      </c>
      <c r="D10" s="326" t="inlineStr">
        <is>
          <t>Mixed: ~50% Sigma3 (zero trap) + ~50% random HAGB</t>
        </is>
      </c>
      <c r="E10" s="407" t="inlineStr">
        <is>
          <t>Lu 2022 EBSD; Zhou 2016 DFT</t>
        </is>
      </c>
      <c r="F10" s="407" t="inlineStr">
        <is>
          <t>Medium-High</t>
        </is>
      </c>
      <c r="G10" s="407" t="inlineStr">
        <is>
          <t>YES -- see note</t>
        </is>
      </c>
      <c r="H10" s="326" t="inlineStr">
        <is>
          <t>~50% Sigma3 coherent twin (negligible trapping per Zhou 2016). ~50% random HAGB (Sigma5-like, E_b = 0.27 eV per Lu 2022). LAGB form only under stress (Zhu 2021: absent in as-received condition).</t>
        </is>
      </c>
    </row>
    <row r="11" ht="22" customHeight="1">
      <c r="A11" s="409" t="inlineStr">
        <is>
          <t>Include GB trapping</t>
        </is>
      </c>
      <c r="B11" s="409" t="inlineStr">
        <is>
          <t>include_gb_trapping</t>
        </is>
      </c>
      <c r="C11" s="409" t="inlineStr">
        <is>
          <t>False</t>
        </is>
      </c>
      <c r="D11" s="409" t="inlineStr">
        <is>
          <t>False for Sigma3; True for HAGB fraction</t>
        </is>
      </c>
      <c r="E11" s="409" t="inlineStr">
        <is>
          <t>Jain 2026; Zhou 2016</t>
        </is>
      </c>
      <c r="F11" s="409" t="inlineStr">
        <is>
          <t>Medium</t>
        </is>
      </c>
      <c r="G11" s="409" t="inlineStr">
        <is>
          <t>CONDITIONAL</t>
        </is>
      </c>
      <c r="H11" s="314" t="inlineStr">
        <is>
          <t>Sigma3 (50%): acts as barrier (0.55 eV crossing per Jain 2026) -- no trapping. Random HAGB (50%): traps H at 0.27 eV (Lu 2022 peak 2). Keep False for first model runs; enable for grain-boundary-resolved sensitivity study.</t>
        </is>
      </c>
    </row>
    <row r="12" ht="8" customHeight="1"/>
    <row r="13" ht="20" customHeight="1">
      <c r="A13" s="406" t="inlineStr">
        <is>
          <t>SECTION 2A -- VACANCY TRAP PARAMETERS</t>
        </is>
      </c>
    </row>
    <row r="14" ht="36" customHeight="1">
      <c r="A14" s="319" t="inlineStr">
        <is>
          <t>WARNING: No Ni-specific vacancy binding energy in database. Tateyama 2003 is alpha-Fe (bcc). Ni DFT gives ~0.43 eV (cited in Jain 2026 via Di Stefano 2015). Current 0.5 eV placeholder coincidentally lies between Fe (0.60 eV) and Ni estimate (0.43 eV). It is NOT a measured value -- it is a coincidence. Treat with Low confidence.</t>
        </is>
      </c>
    </row>
    <row r="15" ht="26" customHeight="1">
      <c r="A15" s="28" t="inlineStr">
        <is>
          <t>Source</t>
        </is>
      </c>
      <c r="B15" s="28" t="inlineStr">
        <is>
          <t>Material</t>
        </is>
      </c>
      <c r="C15" s="28" t="inlineStr">
        <is>
          <t>VH1/VH2 binding (eV)</t>
        </is>
      </c>
      <c r="D15" s="28" t="inlineStr">
        <is>
          <t>VH3 binding (eV)</t>
        </is>
      </c>
      <c r="E15" s="28" t="inlineStr">
        <is>
          <t>Method</t>
        </is>
      </c>
      <c r="F15" s="28" t="inlineStr">
        <is>
          <t>Applicable to Has-N?</t>
        </is>
      </c>
      <c r="G15" s="28" t="inlineStr">
        <is>
          <t>Notes</t>
        </is>
      </c>
    </row>
    <row r="16" ht="20" customHeight="1">
      <c r="A16" s="410" t="inlineStr">
        <is>
          <t>Tateyama 2003</t>
        </is>
      </c>
      <c r="B16" s="410" t="inlineStr">
        <is>
          <t>alpha-Fe (bcc)</t>
        </is>
      </c>
      <c r="C16" s="410" t="inlineStr">
        <is>
          <t>0.60 eV</t>
        </is>
      </c>
      <c r="D16" s="410" t="inlineStr">
        <is>
          <t>0.40 eV</t>
        </is>
      </c>
      <c r="E16" s="410" t="inlineStr">
        <is>
          <t>DFT GGA FLAPW</t>
        </is>
      </c>
      <c r="F16" s="410" t="inlineStr">
        <is>
          <t>NO -- bcc Fe only</t>
        </is>
      </c>
      <c r="G16" s="364" t="inlineStr">
        <is>
          <t>Canonical reference for method. Fe value CANNOT be used for Ni.</t>
        </is>
      </c>
    </row>
    <row r="17" ht="20" customHeight="1">
      <c r="A17" s="407" t="inlineStr">
        <is>
          <t>Di Stefano 2015 (cited in Jain 2026)</t>
        </is>
      </c>
      <c r="B17" s="407" t="inlineStr">
        <is>
          <t>fcc Ni</t>
        </is>
      </c>
      <c r="C17" s="407" t="inlineStr">
        <is>
          <t>~0.43 eV (estimated)</t>
        </is>
      </c>
      <c r="D17" s="407" t="inlineStr">
        <is>
          <t>---</t>
        </is>
      </c>
      <c r="E17" s="407" t="inlineStr">
        <is>
          <t>DFT GGA-PBE + quantum TST</t>
        </is>
      </c>
      <c r="F17" s="407" t="inlineStr">
        <is>
          <t>YES -- fcc Ni directly</t>
        </is>
      </c>
      <c r="G17" s="326" t="inlineStr">
        <is>
          <t>Not in database as primary paper. Ea=0.37 eV bulk hop consistent with 0.43 eV vacancy binding.</t>
        </is>
      </c>
    </row>
    <row r="18" ht="20" customHeight="1">
      <c r="A18" s="411" t="inlineStr">
        <is>
          <t>Current placeholder</t>
        </is>
      </c>
      <c r="B18" s="411" t="inlineStr">
        <is>
          <t>N/A</t>
        </is>
      </c>
      <c r="C18" s="411" t="inlineStr">
        <is>
          <t>0.50 eV</t>
        </is>
      </c>
      <c r="D18" s="411" t="inlineStr">
        <is>
          <t>---</t>
        </is>
      </c>
      <c r="E18" s="411" t="inlineStr">
        <is>
          <t>Literature assumption</t>
        </is>
      </c>
      <c r="F18" s="411" t="inlineStr">
        <is>
          <t>Uncertain</t>
        </is>
      </c>
      <c r="G18" s="321" t="inlineStr">
        <is>
          <t>Between Fe (0.60) and Ni (~0.43). Coincidence -- not a measurement. USE 0.43 eV.</t>
        </is>
      </c>
    </row>
    <row r="19" ht="8" customHeight="1"/>
    <row r="20" ht="20" customHeight="1">
      <c r="A20" s="406" t="inlineStr">
        <is>
          <t>SECTION 2B -- DISLOCATION TRAP PARAMETERS</t>
        </is>
      </c>
    </row>
    <row r="21" ht="26" customHeight="1">
      <c r="A21" s="28" t="inlineStr">
        <is>
          <t>Parameter</t>
        </is>
      </c>
      <c r="B21" s="28" t="inlineStr">
        <is>
          <t>Source</t>
        </is>
      </c>
      <c r="C21" s="28" t="inlineStr">
        <is>
          <t>Material</t>
        </is>
      </c>
      <c r="D21" s="28" t="inlineStr">
        <is>
          <t>Value</t>
        </is>
      </c>
      <c r="E21" s="28" t="inlineStr">
        <is>
          <t>Method</t>
        </is>
      </c>
      <c r="F21" s="28" t="inlineStr">
        <is>
          <t>T (K)</t>
        </is>
      </c>
      <c r="G21" s="28" t="inlineStr">
        <is>
          <t>Notes</t>
        </is>
      </c>
    </row>
    <row r="22" ht="20" customHeight="1">
      <c r="A22" s="409" t="inlineStr">
        <is>
          <t>Binding energy E_b (elastic field)</t>
        </is>
      </c>
      <c r="B22" s="409" t="inlineStr">
        <is>
          <t>Lu 2022 Table 3 Peak 1</t>
        </is>
      </c>
      <c r="C22" s="409" t="inlineStr">
        <is>
          <t>Alloy 625 (Ni-21Cr-8Mo-3Nb)</t>
        </is>
      </c>
      <c r="D22" s="409" t="inlineStr">
        <is>
          <t>17.92-20.73 kJ/mol = 0.186-0.215 eV</t>
        </is>
      </c>
      <c r="E22" s="409" t="inlineStr">
        <is>
          <t>TDS (Kissinger), saturated membrane</t>
        </is>
      </c>
      <c r="F22" s="412" t="n">
        <v>335</v>
      </c>
      <c r="G22" s="409" t="inlineStr">
        <is>
          <t>Closest Ni-Cr-Mo analog to Has-N in DB</t>
        </is>
      </c>
    </row>
    <row r="23" ht="20" customHeight="1">
      <c r="A23" s="410" t="inlineStr">
        <is>
          <t>Binding energy E_b (placeholder)</t>
        </is>
      </c>
      <c r="B23" s="410" t="inlineStr">
        <is>
          <t>Literature assumption</t>
        </is>
      </c>
      <c r="C23" s="410" t="inlineStr">
        <is>
          <t>Generic</t>
        </is>
      </c>
      <c r="D23" s="410" t="inlineStr">
        <is>
          <t>0.70 eV = 67.5 kJ/mol</t>
        </is>
      </c>
      <c r="E23" s="410" t="inlineStr">
        <is>
          <t>Assumed</t>
        </is>
      </c>
      <c r="F23" s="410" t="inlineStr">
        <is>
          <t>N/A</t>
        </is>
      </c>
      <c r="G23" s="364" t="inlineStr">
        <is>
          <t>OVERESTIMATE. 3.3x too high vs Lu 2022 measured value.</t>
        </is>
      </c>
    </row>
    <row r="24" ht="20" customHeight="1">
      <c r="A24" s="407" t="inlineStr">
        <is>
          <t>Dislocation density (as-received)</t>
        </is>
      </c>
      <c r="B24" s="407" t="inlineStr">
        <is>
          <t>Zhu 2021 MTEX GND (EBSD)</t>
        </is>
      </c>
      <c r="C24" s="407" t="inlineStr">
        <is>
          <t>Hastelloy N solution-annealed</t>
        </is>
      </c>
      <c r="D24" s="407" t="inlineStr">
        <is>
          <t>~8.16e12 m/m^3 (at detection limit)</t>
        </is>
      </c>
      <c r="E24" s="326" t="inlineStr">
        <is>
          <t>EBSD MTEX Pantleon framework, 150 nm step</t>
        </is>
      </c>
      <c r="F24" s="413" t="n">
        <v>298</v>
      </c>
      <c r="G24" s="326" t="inlineStr">
        <is>
          <t>Baseline -- essentially dislocation-free after anneal</t>
        </is>
      </c>
    </row>
    <row r="25" ht="20" customHeight="1">
      <c r="A25" s="411" t="inlineStr">
        <is>
          <t>Dislocation density (100 MPa crept)</t>
        </is>
      </c>
      <c r="B25" s="411" t="inlineStr">
        <is>
          <t>Zhu 2021 MTEX GND</t>
        </is>
      </c>
      <c r="C25" s="411" t="inlineStr">
        <is>
          <t>Hastelloy N crept 973K</t>
        </is>
      </c>
      <c r="D25" s="411" t="inlineStr">
        <is>
          <t>8.65e13 m/m^3</t>
        </is>
      </c>
      <c r="E25" s="411" t="inlineStr">
        <is>
          <t>EBSD post-creep</t>
        </is>
      </c>
      <c r="F25" s="414" t="n">
        <v>973</v>
      </c>
      <c r="G25" s="321" t="inlineStr">
        <is>
          <t>After 10,258h creep. NOT appropriate for baseline model.</t>
        </is>
      </c>
    </row>
    <row r="26" ht="20" customHeight="1">
      <c r="A26" s="410" t="inlineStr">
        <is>
          <t>Dislocation density (placeholder)</t>
        </is>
      </c>
      <c r="B26" s="410" t="inlineStr">
        <is>
          <t>Assumed</t>
        </is>
      </c>
      <c r="C26" s="410" t="inlineStr">
        <is>
          <t>Generic</t>
        </is>
      </c>
      <c r="D26" s="410" t="inlineStr">
        <is>
          <t>1e22 m^-3</t>
        </is>
      </c>
      <c r="E26" s="410" t="inlineStr">
        <is>
          <t>Assumed</t>
        </is>
      </c>
      <c r="F26" s="410" t="inlineStr">
        <is>
          <t>N/A</t>
        </is>
      </c>
      <c r="G26" s="364" t="inlineStr">
        <is>
          <t>OVERESTIMATE: ~4 orders higher than as-received Has-N measured value.</t>
        </is>
      </c>
    </row>
    <row r="27" ht="8" customHeight="1"/>
    <row r="28" ht="20" customHeight="1">
      <c r="A28" s="406" t="inlineStr">
        <is>
          <t>SECTION 2C -- GRAIN BOUNDARY TRAP PARAMETERS</t>
        </is>
      </c>
    </row>
    <row r="29" ht="26" customHeight="1">
      <c r="A29" s="28" t="inlineStr">
        <is>
          <t>GB type</t>
        </is>
      </c>
      <c r="B29" s="28" t="inlineStr">
        <is>
          <t>Binding energy</t>
        </is>
      </c>
      <c r="C29" s="28" t="inlineStr">
        <is>
          <t>Source</t>
        </is>
      </c>
      <c r="D29" s="28" t="inlineStr">
        <is>
          <t>Method</t>
        </is>
      </c>
      <c r="E29" s="28" t="inlineStr">
        <is>
          <t>Fraction in Has-N</t>
        </is>
      </c>
      <c r="F29" s="28" t="inlineStr">
        <is>
          <t>Role</t>
        </is>
      </c>
      <c r="G29" s="28" t="inlineStr">
        <is>
          <t>Notes</t>
        </is>
      </c>
    </row>
    <row r="30" ht="22" customHeight="1">
      <c r="A30" s="407" t="inlineStr">
        <is>
          <t>Sigma3 (coherent twin / special)</t>
        </is>
      </c>
      <c r="B30" s="407" t="inlineStr">
        <is>
          <t>~0 eV (barrier: +0.55 eV crossing)</t>
        </is>
      </c>
      <c r="C30" s="407" t="inlineStr">
        <is>
          <t>Zhou 2016 DFT; Jain 2026 KMC</t>
        </is>
      </c>
      <c r="D30" s="407" t="inlineStr">
        <is>
          <t>DFT GGA-PBE (VASP); DFT+KMC multiscale</t>
        </is>
      </c>
      <c r="E30" s="407" t="inlineStr">
        <is>
          <t>~50% (Lu 2022 Alloy 625)</t>
        </is>
      </c>
      <c r="F30" s="407" t="inlineStr">
        <is>
          <t>Diffusion BARRIER -- not a trap</t>
        </is>
      </c>
      <c r="G30" s="326" t="inlineStr">
        <is>
          <t>Composed of pristine BTE polyhedrons. Zero distortion. E_sg = 0.</t>
        </is>
      </c>
    </row>
    <row r="31" ht="22" customHeight="1">
      <c r="A31" s="411" t="inlineStr">
        <is>
          <t>Random HAGB (Sigma5-like / disordered)</t>
        </is>
      </c>
      <c r="B31" s="411" t="inlineStr">
        <is>
          <t>0.258-0.281 eV (Peak 2, Lu 2022)</t>
        </is>
      </c>
      <c r="C31" s="411" t="inlineStr">
        <is>
          <t>Lu 2022 TDS; Zhou 2016 DFT</t>
        </is>
      </c>
      <c r="D31" s="321" t="inlineStr">
        <is>
          <t>TDS Kissinger saturated membrane; DFT polyhedral framework</t>
        </is>
      </c>
      <c r="E31" s="411" t="inlineStr">
        <is>
          <t>~50% (remaining non-Sigma3)</t>
        </is>
      </c>
      <c r="F31" s="411" t="inlineStr">
        <is>
          <t>Trap + fast pathway (in-plane)</t>
        </is>
      </c>
      <c r="G31" s="321" t="inlineStr">
        <is>
          <t>Sigma5 in-plane barrier 0.27 eV &lt; bulk 0.37 eV. E_b = escape - bulk = 0.26 - 0 = 0.26 eV.</t>
        </is>
      </c>
    </row>
    <row r="32" ht="22" customHeight="1">
      <c r="A32" s="408" t="inlineStr">
        <is>
          <t>LAGB (low-angle, as-received)</t>
        </is>
      </c>
      <c r="B32" s="408" t="inlineStr">
        <is>
          <t>Very low (dislocation elastic field)</t>
        </is>
      </c>
      <c r="C32" s="408" t="inlineStr">
        <is>
          <t>Zhu 2021 EBSD</t>
        </is>
      </c>
      <c r="D32" s="315" t="inlineStr">
        <is>
          <t>EBSD MTEX -- absent in as-received condition</t>
        </is>
      </c>
      <c r="E32" s="408" t="inlineStr">
        <is>
          <t>~0% as-received; forms under stress</t>
        </is>
      </c>
      <c r="F32" s="408" t="inlineStr">
        <is>
          <t>Not relevant for baseline model</t>
        </is>
      </c>
      <c r="G32" s="315" t="inlineStr">
        <is>
          <t>LAGBs only form during creep deformation. Not present in solution-annealed Has-N.</t>
        </is>
      </c>
    </row>
    <row r="33" ht="28" customHeight="1">
      <c r="A33" s="322" t="inlineStr">
        <is>
          <t>GB density calculation from grain size:  N_GB [m^-3] = 3 / (d_grain * d_gb_thickness) = 3 / (100e-6 * 0.5e-9) = 6.0e10 m^-2 (area per vol) -&gt; volumetric trap density ~ N_GB / d_grain = 6e14 m^-3 per nm GB thickness.  Current placeholder 1e24 m^-3 likely refers to GB site density not GB volume density -- check units.</t>
        </is>
      </c>
    </row>
    <row r="34" ht="8" customHeight="1"/>
    <row r="35" ht="20" customHeight="1">
      <c r="A35" s="406" t="inlineStr">
        <is>
          <t>SECTION 2D -- CARBIDE TRAP PARAMETERS</t>
        </is>
      </c>
    </row>
    <row r="36" ht="26" customHeight="1">
      <c r="A36" s="28" t="inlineStr">
        <is>
          <t>Carbide type</t>
        </is>
      </c>
      <c r="B36" s="28" t="inlineStr">
        <is>
          <t>Alloy system</t>
        </is>
      </c>
      <c r="C36" s="28" t="inlineStr">
        <is>
          <t>Binding energy</t>
        </is>
      </c>
      <c r="D36" s="28" t="inlineStr">
        <is>
          <t>eV</t>
        </is>
      </c>
      <c r="E36" s="28" t="inlineStr">
        <is>
          <t>Method</t>
        </is>
      </c>
      <c r="F36" s="28" t="inlineStr">
        <is>
          <t>Source</t>
        </is>
      </c>
      <c r="G36" s="28" t="inlineStr">
        <is>
          <t>Notes</t>
        </is>
      </c>
    </row>
    <row r="37" ht="20" customHeight="1">
      <c r="A37" s="407" t="inlineStr">
        <is>
          <t>M7C3 (pseudo-hexagonal)</t>
        </is>
      </c>
      <c r="B37" s="407" t="inlineStr">
        <is>
          <t>Ni-17Cr-8Fe (A600 mill annealed)</t>
        </is>
      </c>
      <c r="C37" s="407" t="inlineStr">
        <is>
          <t>~55 kJ/mol</t>
        </is>
      </c>
      <c r="D37" s="413" t="n">
        <v>0.57</v>
      </c>
      <c r="E37" s="407" t="inlineStr">
        <is>
          <t>TDS Kissinger</t>
        </is>
      </c>
      <c r="F37" s="407" t="inlineStr">
        <is>
          <t>Young 1997</t>
        </is>
      </c>
      <c r="G37" s="326" t="inlineStr">
        <is>
          <t>STRONG trap. Upper bound for all carbide types in Ni-Cr alloys.</t>
        </is>
      </c>
    </row>
    <row r="38" ht="20" customHeight="1">
      <c r="A38" s="409" t="inlineStr">
        <is>
          <t>M23C6 (sensitized)</t>
        </is>
      </c>
      <c r="B38" s="409" t="inlineStr">
        <is>
          <t>Ni-17Cr-8Fe (A600 sensitized 600C/24h)</t>
        </is>
      </c>
      <c r="C38" s="409" t="inlineStr">
        <is>
          <t>19-28 kJ/mol</t>
        </is>
      </c>
      <c r="D38" s="412" t="n">
        <v>0.244</v>
      </c>
      <c r="E38" s="409" t="inlineStr">
        <is>
          <t>TDS Kissinger</t>
        </is>
      </c>
      <c r="F38" s="409" t="inlineStr">
        <is>
          <t>Young 1997</t>
        </is>
      </c>
      <c r="G38" s="314" t="inlineStr">
        <is>
          <t>WEAK trap. More coherent interface than M7C3. Range 0.20-0.29 eV.</t>
        </is>
      </c>
    </row>
    <row r="39" ht="20" customHeight="1">
      <c r="A39" s="415" t="inlineStr">
        <is>
          <t>M6C (Ni2Mo4C, incoherent)</t>
        </is>
      </c>
      <c r="B39" s="415" t="inlineStr">
        <is>
          <t>Alloy 625 (Ni-21Cr-8Mo-3Nb)</t>
        </is>
      </c>
      <c r="C39" s="415" t="inlineStr">
        <is>
          <t>24.87-27.13 kJ/mol</t>
        </is>
      </c>
      <c r="D39" s="416" t="n">
        <v>0.269</v>
      </c>
      <c r="E39" s="415" t="inlineStr">
        <is>
          <t>TDS Kissinger saturated membrane</t>
        </is>
      </c>
      <c r="F39" s="415" t="inlineStr">
        <is>
          <t>Lu 2022 Peak 2</t>
        </is>
      </c>
      <c r="G39" s="417" t="inlineStr">
        <is>
          <t>★ MOST RELEVANT: same M6C phase as in Hastelloy N (Zhu 2021 confirmed). Reversible trap.</t>
        </is>
      </c>
    </row>
    <row r="40" ht="20" customHeight="1">
      <c r="A40" s="418" t="inlineStr">
        <is>
          <t>M6C (as-received Has-N)</t>
        </is>
      </c>
      <c r="B40" s="418" t="inlineStr">
        <is>
          <t>Hastelloy N (Ni-15Mo-7Cr-4Fe)</t>
        </is>
      </c>
      <c r="C40" s="418" t="inlineStr">
        <is>
          <t>Inferred: ~25-27 kJ/mol (M6C analog)</t>
        </is>
      </c>
      <c r="D40" s="419" t="n">
        <v>0.269</v>
      </c>
      <c r="E40" s="418" t="inlineStr">
        <is>
          <t>Inference from Lu 2022 (Alloy 625 M6C)</t>
        </is>
      </c>
      <c r="F40" s="418" t="inlineStr">
        <is>
          <t>Zhu 2021 + Lu 2022</t>
        </is>
      </c>
      <c r="G40" s="301" t="inlineStr">
        <is>
          <t>Composition match: Zhu 2021 EDS shows Mo~65% Ni~24% -- same as Lu 2022 M6C.</t>
        </is>
      </c>
    </row>
    <row r="41" ht="20" customHeight="1">
      <c r="A41" s="408" t="inlineStr">
        <is>
          <t>Trap site density N_T (upper bound)</t>
        </is>
      </c>
      <c r="B41" s="408" t="inlineStr">
        <is>
          <t>Ni-17Cr-8Fe mill annealed</t>
        </is>
      </c>
      <c r="C41" s="408" t="inlineStr">
        <is>
          <t>~2e19 sites/cm^3 = 2e25 m^-3</t>
        </is>
      </c>
      <c r="D41" s="408" t="inlineStr">
        <is>
          <t>N/A</t>
        </is>
      </c>
      <c r="E41" s="408" t="inlineStr">
        <is>
          <t>Eq.1 with theta_T=1</t>
        </is>
      </c>
      <c r="F41" s="408" t="inlineStr">
        <is>
          <t>Young 1997</t>
        </is>
      </c>
      <c r="G41" s="315" t="inlineStr">
        <is>
          <t>Carbide/matrix interface sites. For Has-N: scale by actual M6C volume fraction.</t>
        </is>
      </c>
    </row>
    <row r="42" ht="8" customHeight="1"/>
    <row r="43" ht="20" customHeight="1">
      <c r="A43" s="420" t="inlineStr">
        <is>
          <t>★ DEFAULT VALUES (recommended model inputs)</t>
        </is>
      </c>
    </row>
    <row r="44" ht="26" customHeight="1">
      <c r="A44" s="36" t="inlineStr">
        <is>
          <t>Parameter</t>
        </is>
      </c>
      <c r="B44" s="36" t="inlineStr">
        <is>
          <t>Symbol</t>
        </is>
      </c>
      <c r="C44" s="36" t="inlineStr">
        <is>
          <t>Placeholder</t>
        </is>
      </c>
      <c r="D44" s="36" t="inlineStr">
        <is>
          <t>Recommended Default</t>
        </is>
      </c>
      <c r="E44" s="36" t="inlineStr">
        <is>
          <t>Units</t>
        </is>
      </c>
      <c r="F44" s="36" t="inlineStr">
        <is>
          <t>Confidence</t>
        </is>
      </c>
      <c r="G44" s="36" t="inlineStr">
        <is>
          <t>Primary Source</t>
        </is>
      </c>
      <c r="H44" s="36" t="inlineStr">
        <is>
          <t>Notes</t>
        </is>
      </c>
    </row>
    <row r="45" ht="22" customHeight="1">
      <c r="A45" s="421" t="inlineStr">
        <is>
          <t>Grain size</t>
        </is>
      </c>
      <c r="B45" s="421" t="inlineStr">
        <is>
          <t>grain_size</t>
        </is>
      </c>
      <c r="C45" s="421" t="inlineStr">
        <is>
          <t>50e-6</t>
        </is>
      </c>
      <c r="D45" s="421" t="inlineStr">
        <is>
          <t>100e-6</t>
        </is>
      </c>
      <c r="E45" s="421" t="inlineStr">
        <is>
          <t>m</t>
        </is>
      </c>
      <c r="F45" s="421" t="inlineStr">
        <is>
          <t>High</t>
        </is>
      </c>
      <c r="G45" s="421" t="inlineStr">
        <is>
          <t>Zhu 2021 EBSD</t>
        </is>
      </c>
      <c r="H45" s="421" t="inlineStr">
        <is>
          <t>Midpoint of 50-150 um equiaxed range</t>
        </is>
      </c>
    </row>
    <row r="46" ht="22" customHeight="1">
      <c r="A46" s="418" t="inlineStr">
        <is>
          <t>GB thickness</t>
        </is>
      </c>
      <c r="B46" s="418" t="inlineStr">
        <is>
          <t>gb_thickness</t>
        </is>
      </c>
      <c r="C46" s="418" t="inlineStr">
        <is>
          <t>0.5e-9</t>
        </is>
      </c>
      <c r="D46" s="418" t="inlineStr">
        <is>
          <t>0.5e-9</t>
        </is>
      </c>
      <c r="E46" s="418" t="inlineStr">
        <is>
          <t>m</t>
        </is>
      </c>
      <c r="F46" s="418" t="inlineStr">
        <is>
          <t>Low</t>
        </is>
      </c>
      <c r="G46" s="418" t="inlineStr">
        <is>
          <t>Standard assumption</t>
        </is>
      </c>
      <c r="H46" s="418" t="inlineStr">
        <is>
          <t>No Has-N specific measurement in DB</t>
        </is>
      </c>
    </row>
    <row r="47" ht="22" customHeight="1">
      <c r="A47" s="421" t="inlineStr">
        <is>
          <t>Grain shape</t>
        </is>
      </c>
      <c r="B47" s="421" t="inlineStr">
        <is>
          <t>grain_shape</t>
        </is>
      </c>
      <c r="C47" s="421" t="inlineStr">
        <is>
          <t>equiaxed</t>
        </is>
      </c>
      <c r="D47" s="421" t="inlineStr">
        <is>
          <t>equiaxed</t>
        </is>
      </c>
      <c r="E47" s="421" t="inlineStr">
        <is>
          <t>N/A</t>
        </is>
      </c>
      <c r="F47" s="421" t="inlineStr">
        <is>
          <t>High</t>
        </is>
      </c>
      <c r="G47" s="421" t="inlineStr">
        <is>
          <t>Zhu 2021 EBSD</t>
        </is>
      </c>
      <c r="H47" s="421" t="inlineStr">
        <is>
          <t>Confirmed equiaxed for solution-annealed</t>
        </is>
      </c>
    </row>
    <row r="48" ht="22" customHeight="1">
      <c r="A48" s="418" t="inlineStr">
        <is>
          <t>GB type</t>
        </is>
      </c>
      <c r="B48" s="418" t="inlineStr">
        <is>
          <t>gb_type</t>
        </is>
      </c>
      <c r="C48" s="418" t="inlineStr">
        <is>
          <t>LAGB</t>
        </is>
      </c>
      <c r="D48" s="418" t="inlineStr">
        <is>
          <t>mixed HAGB</t>
        </is>
      </c>
      <c r="E48" s="418" t="inlineStr">
        <is>
          <t>N/A</t>
        </is>
      </c>
      <c r="F48" s="418" t="inlineStr">
        <is>
          <t>Medium</t>
        </is>
      </c>
      <c r="G48" s="418" t="inlineStr">
        <is>
          <t>Zhu 2021 + Lu 2022</t>
        </is>
      </c>
      <c r="H48" s="301" t="inlineStr">
        <is>
          <t>~50% Sigma3 + ~50% random HAGB in service</t>
        </is>
      </c>
    </row>
    <row r="49" ht="22" customHeight="1">
      <c r="A49" s="421" t="inlineStr">
        <is>
          <t>Vacancy E_b</t>
        </is>
      </c>
      <c r="B49" s="421" t="inlineStr">
        <is>
          <t>E_b_vacancy</t>
        </is>
      </c>
      <c r="C49" s="421" t="inlineStr">
        <is>
          <t>0.50 eV</t>
        </is>
      </c>
      <c r="D49" s="421" t="inlineStr">
        <is>
          <t>0.43 eV</t>
        </is>
      </c>
      <c r="E49" s="421" t="inlineStr">
        <is>
          <t>eV (J/mol: 41,488)</t>
        </is>
      </c>
      <c r="F49" s="421" t="inlineStr">
        <is>
          <t>Low</t>
        </is>
      </c>
      <c r="G49" s="421" t="inlineStr">
        <is>
          <t>Ni DFT est.</t>
        </is>
      </c>
      <c r="H49" s="300" t="inlineStr">
        <is>
          <t>Fe=0.60 eV (Tateyama). Ni~0.43 eV (Di Stefano, cited). Needs Ni-specific paper.</t>
        </is>
      </c>
    </row>
    <row r="50" ht="22" customHeight="1">
      <c r="A50" s="418" t="inlineStr">
        <is>
          <t>Vacancy density</t>
        </is>
      </c>
      <c r="B50" s="418" t="inlineStr">
        <is>
          <t>N_vacancy</t>
        </is>
      </c>
      <c r="C50" s="418" t="inlineStr">
        <is>
          <t>1e26 m^-3</t>
        </is>
      </c>
      <c r="D50" s="418" t="inlineStr">
        <is>
          <t>1e26 m^-3</t>
        </is>
      </c>
      <c r="E50" s="418" t="inlineStr">
        <is>
          <t>m^-3</t>
        </is>
      </c>
      <c r="F50" s="418" t="inlineStr">
        <is>
          <t>Low</t>
        </is>
      </c>
      <c r="G50" s="418" t="inlineStr">
        <is>
          <t>Generic assumption</t>
        </is>
      </c>
      <c r="H50" s="301" t="inlineStr">
        <is>
          <t>No Has-N specific measurement. Keep for now.</t>
        </is>
      </c>
    </row>
    <row r="51" ht="22" customHeight="1">
      <c r="A51" s="421" t="inlineStr">
        <is>
          <t>Dislocation E_b</t>
        </is>
      </c>
      <c r="B51" s="421" t="inlineStr">
        <is>
          <t>E_b_dislocation</t>
        </is>
      </c>
      <c r="C51" s="421" t="inlineStr">
        <is>
          <t>0.70 eV</t>
        </is>
      </c>
      <c r="D51" s="421" t="inlineStr">
        <is>
          <t>0.20 eV</t>
        </is>
      </c>
      <c r="E51" s="421" t="inlineStr">
        <is>
          <t>eV (J/mol: 19,297)</t>
        </is>
      </c>
      <c r="F51" s="421" t="inlineStr">
        <is>
          <t>High</t>
        </is>
      </c>
      <c r="G51" s="421" t="inlineStr">
        <is>
          <t>Lu 2022 Table 3</t>
        </is>
      </c>
      <c r="H51" s="300" t="inlineStr">
        <is>
          <t>TDS Peak 1 on Alloy 625 (Ni-Cr-Mo analog). Range 0.186-0.215 eV.</t>
        </is>
      </c>
    </row>
    <row r="52" ht="22" customHeight="1">
      <c r="A52" s="418" t="inlineStr">
        <is>
          <t>Dislocation density</t>
        </is>
      </c>
      <c r="B52" s="418" t="inlineStr">
        <is>
          <t>N_dislocation</t>
        </is>
      </c>
      <c r="C52" s="418" t="inlineStr">
        <is>
          <t>1e22 m^-3</t>
        </is>
      </c>
      <c r="D52" s="418" t="inlineStr">
        <is>
          <t>8.16e12 m^-3</t>
        </is>
      </c>
      <c r="E52" s="418" t="inlineStr">
        <is>
          <t>m^-3 (line)</t>
        </is>
      </c>
      <c r="F52" s="418" t="inlineStr">
        <is>
          <t>High</t>
        </is>
      </c>
      <c r="G52" s="418" t="inlineStr">
        <is>
          <t>Zhu 2021 MTEX GND</t>
        </is>
      </c>
      <c r="H52" s="301" t="inlineStr">
        <is>
          <t>As-received solution-annealed Has-N. Detection limit baseline.</t>
        </is>
      </c>
    </row>
    <row r="53" ht="22" customHeight="1">
      <c r="A53" s="421" t="inlineStr">
        <is>
          <t>GB E_b (HAGB only)</t>
        </is>
      </c>
      <c r="B53" s="421" t="inlineStr">
        <is>
          <t>E_b_GB</t>
        </is>
      </c>
      <c r="C53" s="421" t="inlineStr">
        <is>
          <t>0.90 eV</t>
        </is>
      </c>
      <c r="D53" s="421" t="inlineStr">
        <is>
          <t>0.27 eV</t>
        </is>
      </c>
      <c r="E53" s="421" t="inlineStr">
        <is>
          <t>eV (J/mol: 26,051)</t>
        </is>
      </c>
      <c r="F53" s="421" t="inlineStr">
        <is>
          <t>High</t>
        </is>
      </c>
      <c r="G53" s="421" t="inlineStr">
        <is>
          <t>Lu 2022 Table 3</t>
        </is>
      </c>
      <c r="H53" s="300" t="inlineStr">
        <is>
          <t>TDS Peak 2 on Alloy 625. Applies to random HAGB + M6C interface fraction.</t>
        </is>
      </c>
    </row>
    <row r="54" ht="22" customHeight="1">
      <c r="A54" s="418" t="inlineStr">
        <is>
          <t>GB density</t>
        </is>
      </c>
      <c r="B54" s="418" t="inlineStr">
        <is>
          <t>N_GB</t>
        </is>
      </c>
      <c r="C54" s="418" t="inlineStr">
        <is>
          <t>1e24 m^-3</t>
        </is>
      </c>
      <c r="D54" s="418" t="inlineStr">
        <is>
          <t>~6e14 m^-3</t>
        </is>
      </c>
      <c r="E54" s="418" t="inlineStr">
        <is>
          <t>m^-3</t>
        </is>
      </c>
      <c r="F54" s="418" t="inlineStr">
        <is>
          <t>Medium</t>
        </is>
      </c>
      <c r="G54" s="418" t="inlineStr">
        <is>
          <t>Derived (Zhu 2021)</t>
        </is>
      </c>
      <c r="H54" s="301" t="inlineStr">
        <is>
          <t>Geometric: 3/(d_grain * d_gb). d=100 um, d_gb=0.5 nm.</t>
        </is>
      </c>
    </row>
    <row r="55" ht="22" customHeight="1">
      <c r="A55" s="421" t="inlineStr">
        <is>
          <t>Carbide E_b (M6C)</t>
        </is>
      </c>
      <c r="B55" s="421" t="inlineStr">
        <is>
          <t>E_b_carbide</t>
        </is>
      </c>
      <c r="C55" s="421" t="inlineStr">
        <is>
          <t>0.0 eV</t>
        </is>
      </c>
      <c r="D55" s="421" t="inlineStr">
        <is>
          <t>0.27 eV</t>
        </is>
      </c>
      <c r="E55" s="421" t="inlineStr">
        <is>
          <t>eV (J/mol: 26,051)</t>
        </is>
      </c>
      <c r="F55" s="421" t="inlineStr">
        <is>
          <t>Medium</t>
        </is>
      </c>
      <c r="G55" s="421" t="inlineStr">
        <is>
          <t>Lu 2022 Table 3</t>
        </is>
      </c>
      <c r="H55" s="300" t="inlineStr">
        <is>
          <t>M6C incoherent interface. Same phase confirmed in Has-N (Zhu 2021).</t>
        </is>
      </c>
    </row>
    <row r="56" ht="22" customHeight="1">
      <c r="A56" s="418" t="inlineStr">
        <is>
          <t>Carbide density</t>
        </is>
      </c>
      <c r="B56" s="418" t="inlineStr">
        <is>
          <t>N_carbide</t>
        </is>
      </c>
      <c r="C56" s="418" t="inlineStr">
        <is>
          <t>0</t>
        </is>
      </c>
      <c r="D56" s="418" t="inlineStr">
        <is>
          <t>~2e25 m^-3</t>
        </is>
      </c>
      <c r="E56" s="418" t="inlineStr">
        <is>
          <t>m^-3</t>
        </is>
      </c>
      <c r="F56" s="418" t="inlineStr">
        <is>
          <t>Low</t>
        </is>
      </c>
      <c r="G56" s="418" t="inlineStr">
        <is>
          <t>Young 1997 Eq.1</t>
        </is>
      </c>
      <c r="H56" s="301" t="inlineStr">
        <is>
          <t>Upper bound for mill-annealed Ni-Cr-Fe. Scale by M6C vol. fraction in Has-N.</t>
        </is>
      </c>
    </row>
    <row r="57" ht="8" customHeight="1"/>
    <row r="58" ht="20" customHeight="1">
      <c r="A58" s="422" t="inlineStr">
        <is>
          <t>SENSITIVITY RANGES</t>
        </is>
      </c>
    </row>
    <row r="59" ht="26" customHeight="1">
      <c r="A59" s="303" t="inlineStr">
        <is>
          <t>Parameter</t>
        </is>
      </c>
      <c r="B59" s="303" t="inlineStr">
        <is>
          <t>Pessimistic</t>
        </is>
      </c>
      <c r="C59" s="303" t="inlineStr">
        <is>
          <t>Nominal (default)</t>
        </is>
      </c>
      <c r="D59" s="303" t="inlineStr">
        <is>
          <t>Optimistic</t>
        </is>
      </c>
      <c r="E59" s="303" t="inlineStr">
        <is>
          <t>Span</t>
        </is>
      </c>
      <c r="F59" s="303" t="inlineStr">
        <is>
          <t>Basis</t>
        </is>
      </c>
      <c r="G59" s="303" t="inlineStr">
        <is>
          <t>Notes</t>
        </is>
      </c>
    </row>
    <row r="60" ht="18" customHeight="1">
      <c r="A60" s="423" t="inlineStr">
        <is>
          <t>Vacancy E_b</t>
        </is>
      </c>
      <c r="B60" s="423" t="inlineStr">
        <is>
          <t>0.43 eV (Ni est.)</t>
        </is>
      </c>
      <c r="C60" s="423" t="inlineStr">
        <is>
          <t>0.43 eV</t>
        </is>
      </c>
      <c r="D60" s="423" t="inlineStr">
        <is>
          <t>0.60 eV (Fe bound, Tateyama)</t>
        </is>
      </c>
      <c r="E60" s="423" t="inlineStr">
        <is>
          <t>0.17 eV (40%)</t>
        </is>
      </c>
      <c r="F60" s="423" t="inlineStr">
        <is>
          <t>Tateyama Fe vs Ni DFT estimate</t>
        </is>
      </c>
      <c r="G60" s="305" t="inlineStr">
        <is>
          <t>Uncertainty from missing Ni-specific paper. Pessimistic = use as-received Ni value.</t>
        </is>
      </c>
    </row>
    <row r="61" ht="18" customHeight="1">
      <c r="A61" s="424" t="inlineStr">
        <is>
          <t>Dislocation E_b</t>
        </is>
      </c>
      <c r="B61" s="424" t="inlineStr">
        <is>
          <t>0.186 eV (Lu 2022 low)</t>
        </is>
      </c>
      <c r="C61" s="424" t="inlineStr">
        <is>
          <t>0.200 eV</t>
        </is>
      </c>
      <c r="D61" s="424" t="inlineStr">
        <is>
          <t>0.215 eV (Lu 2022 high)</t>
        </is>
      </c>
      <c r="E61" s="424" t="inlineStr">
        <is>
          <t>0.029 eV (15%)</t>
        </is>
      </c>
      <c r="F61" s="424" t="inlineStr">
        <is>
          <t>Lu 2022 Table 3 range across grain sizes</t>
        </is>
      </c>
      <c r="G61" s="307" t="inlineStr">
        <is>
          <t>Well-constrained. Narrow spread confirms grain size has negligible effect.</t>
        </is>
      </c>
    </row>
    <row r="62" ht="18" customHeight="1">
      <c r="A62" s="423" t="inlineStr">
        <is>
          <t>Dislocation density</t>
        </is>
      </c>
      <c r="B62" s="423" t="inlineStr">
        <is>
          <t>8.16e12 m^-3 (as-received)</t>
        </is>
      </c>
      <c r="C62" s="423" t="inlineStr">
        <is>
          <t>8.16e12 m^-3</t>
        </is>
      </c>
      <c r="D62" s="423" t="inlineStr">
        <is>
          <t>8.65e13 m^-3 (100 MPa crept)</t>
        </is>
      </c>
      <c r="E62" s="423" t="inlineStr">
        <is>
          <t>10x</t>
        </is>
      </c>
      <c r="F62" s="423" t="inlineStr">
        <is>
          <t>Zhu 2021 GND data</t>
        </is>
      </c>
      <c r="G62" s="305" t="inlineStr">
        <is>
          <t>Annealed baseline vs in-service crept. Use annealed for first model run.</t>
        </is>
      </c>
    </row>
    <row r="63" ht="18" customHeight="1">
      <c r="A63" s="424" t="inlineStr">
        <is>
          <t>GB E_b (HAGB)</t>
        </is>
      </c>
      <c r="B63" s="424" t="inlineStr">
        <is>
          <t>0.258 eV (Lu 2022 low)</t>
        </is>
      </c>
      <c r="C63" s="424" t="inlineStr">
        <is>
          <t>0.270 eV</t>
        </is>
      </c>
      <c r="D63" s="424" t="inlineStr">
        <is>
          <t>0.281 eV (Lu 2022 high)</t>
        </is>
      </c>
      <c r="E63" s="424" t="inlineStr">
        <is>
          <t>0.023 eV (9%)</t>
        </is>
      </c>
      <c r="F63" s="424" t="inlineStr">
        <is>
          <t>Lu 2022 Table 3 range</t>
        </is>
      </c>
      <c r="G63" s="307" t="inlineStr">
        <is>
          <t>Very well constrained. Narrow range. Note Sigma3 (50%) contributes 0 eV.</t>
        </is>
      </c>
    </row>
    <row r="64" ht="18" customHeight="1">
      <c r="A64" s="423" t="inlineStr">
        <is>
          <t>Carbide E_b</t>
        </is>
      </c>
      <c r="B64" s="423" t="inlineStr">
        <is>
          <t>0.197 eV (M23C6 Young 1997)</t>
        </is>
      </c>
      <c r="C64" s="423" t="inlineStr">
        <is>
          <t>0.270 eV (M6C Lu 2022)</t>
        </is>
      </c>
      <c r="D64" s="423" t="inlineStr">
        <is>
          <t>0.570 eV (M7C3 Young 1997)</t>
        </is>
      </c>
      <c r="E64" s="423" t="inlineStr">
        <is>
          <t>0.373 eV (1.9x)</t>
        </is>
      </c>
      <c r="F64" s="423" t="inlineStr">
        <is>
          <t>Young 1997 + Lu 2022</t>
        </is>
      </c>
      <c r="G64" s="305" t="inlineStr">
        <is>
          <t>Span driven by carbide type (M23C6 vs M6C vs M7C3). M6C most relevant for Has-N.</t>
        </is>
      </c>
    </row>
    <row r="65" ht="18" customHeight="1">
      <c r="A65" s="424" t="inlineStr">
        <is>
          <t>Carbide density</t>
        </is>
      </c>
      <c r="B65" s="424" t="inlineStr">
        <is>
          <t>0 m^-3 (no carbides assumed)</t>
        </is>
      </c>
      <c r="C65" s="424" t="inlineStr">
        <is>
          <t>~2e25 m^-3</t>
        </is>
      </c>
      <c r="D65" s="424" t="inlineStr">
        <is>
          <t>2e25 m^-3 (Young 1997 upper bound)</t>
        </is>
      </c>
      <c r="E65" s="424" t="inlineStr">
        <is>
          <t>&gt; 2 orders vs zero</t>
        </is>
      </c>
      <c r="F65" s="424" t="inlineStr">
        <is>
          <t>Young 1997 Eq.1</t>
        </is>
      </c>
      <c r="G65" s="307" t="inlineStr">
        <is>
          <t>Whether carbides are included at all is the dominant uncertainty.</t>
        </is>
      </c>
    </row>
    <row r="66" ht="18" customHeight="1">
      <c r="A66" s="423" t="inlineStr">
        <is>
          <t>Grain size</t>
        </is>
      </c>
      <c r="B66" s="423" t="inlineStr">
        <is>
          <t>50e-6 m (placeholder)</t>
        </is>
      </c>
      <c r="C66" s="423" t="inlineStr">
        <is>
          <t>100e-6 m (midpoint)</t>
        </is>
      </c>
      <c r="D66" s="423" t="inlineStr">
        <is>
          <t>150e-6 m (Zhu 2021 upper)</t>
        </is>
      </c>
      <c r="E66" s="423" t="inlineStr">
        <is>
          <t>3x</t>
        </is>
      </c>
      <c r="F66" s="423" t="inlineStr">
        <is>
          <t>Zhu 2021 EBSD</t>
        </is>
      </c>
      <c r="G66" s="305" t="inlineStr">
        <is>
          <t>Well-measured range. Effect on model: larger grain -&gt; lower GB trap density.</t>
        </is>
      </c>
    </row>
    <row r="67" ht="8" customHeight="1"/>
    <row r="68" ht="20" customHeight="1">
      <c r="A68" s="425" t="inlineStr">
        <is>
          <t>OUTSTANDING GAPS -- parameters not resolvable from current database</t>
        </is>
      </c>
    </row>
    <row r="69" ht="26" customHeight="1">
      <c r="A69" s="426" t="inlineStr">
        <is>
          <t>Parameter</t>
        </is>
      </c>
      <c r="B69" s="426" t="inlineStr">
        <is>
          <t>Gap description</t>
        </is>
      </c>
      <c r="C69" s="426" t="inlineStr">
        <is>
          <t>Why current DB cannot fill it</t>
        </is>
      </c>
      <c r="D69" s="426" t="inlineStr">
        <is>
          <t>Recommended source</t>
        </is>
      </c>
      <c r="E69" s="426" t="inlineStr">
        <is>
          <t>Priority</t>
        </is>
      </c>
    </row>
    <row r="70" ht="22" customHeight="1">
      <c r="A70" s="427" t="inlineStr">
        <is>
          <t>Vacancy binding energy for fcc Ni</t>
        </is>
      </c>
      <c r="B70" s="319" t="inlineStr">
        <is>
          <t>No Ni-specific DFT vacancy binding paper in database. Tateyama 2003 is bcc Fe only.</t>
        </is>
      </c>
      <c r="C70" s="319" t="inlineStr">
        <is>
          <t>Di Stefano 2015 (cited in Jain 2026 but not extracted) gives Ea=0.37 eV for bulk hop -- does not directly give VH_n binding energy for Ni.</t>
        </is>
      </c>
      <c r="D70" s="319" t="inlineStr">
        <is>
          <t>Metsue et al. (2018) Comp. Mater. Sci. 151:144-153: H-vacancy trapping in Ni. Or Nazarov et al. (2010) PRB 82:224104 for fcc Ni explicitly.</t>
        </is>
      </c>
      <c r="E70" s="427" t="inlineStr">
        <is>
          <t>HIGH -- affects vacancy E_b directly</t>
        </is>
      </c>
    </row>
    <row r="71" ht="22" customHeight="1">
      <c r="A71" s="428" t="inlineStr">
        <is>
          <t>GB thickness for Hastelloy N</t>
        </is>
      </c>
      <c r="B71" s="429" t="inlineStr">
        <is>
          <t>No direct HRTEM or APT measurement of GB width for Hastelloy N in database.</t>
        </is>
      </c>
      <c r="C71" s="429" t="inlineStr">
        <is>
          <t>All papers characterize GB chemistry or misorientation but not physical thickness. 0.5 nm is a generic crystallographic assumption.</t>
        </is>
      </c>
      <c r="D71" s="429" t="inlineStr">
        <is>
          <t>HRTEM cross-section of Has-N grain boundary, or APT composition profile across GB. NSUF project on Has-N FLiBe GBs may have this data.</t>
        </is>
      </c>
      <c r="E71" s="429" t="inlineStr">
        <is>
          <t>LOW-MEDIUM -- affects GB trap density calculation</t>
        </is>
      </c>
    </row>
    <row r="72" ht="22" customHeight="1">
      <c r="A72" s="319" t="inlineStr">
        <is>
          <t>Carbide density for Hastelloy N specifically</t>
        </is>
      </c>
      <c r="B72" s="319" t="inlineStr">
        <is>
          <t>Young 1997 N_T = 2e25 m^-3 is for Ni-17Cr-8Fe (Alloy 600 class), not Hastelloy N.</t>
        </is>
      </c>
      <c r="C72" s="319" t="inlineStr">
        <is>
          <t>Hastelloy N has M6C (Mo-rich, Ni2Mo4C) as primary carbide. Volume fraction of M6C in Has-N not measured in any extracted paper.</t>
        </is>
      </c>
      <c r="D72" s="319" t="inlineStr">
        <is>
          <t>Zhu 2021 mentions "stringers of carbides" qualitatively but no volume fraction quantified. Need TEM/SEM point-counting or image analysis on Has-N carbide distribution.</t>
        </is>
      </c>
      <c r="E72" s="427" t="inlineStr">
        <is>
          <t>MEDIUM -- affects carbide trap density</t>
        </is>
      </c>
    </row>
    <row r="73" ht="22" customHeight="1">
      <c r="A73" s="428" t="inlineStr">
        <is>
          <t>Vacancy density (irradiation effects)</t>
        </is>
      </c>
      <c r="B73" s="429" t="inlineStr">
        <is>
          <t>All vacancy density values in DB are for unirradiated material.</t>
        </is>
      </c>
      <c r="C73" s="429" t="inlineStr">
        <is>
          <t>In MSR conditions, fast neutron fluence creates vacancy clusters. Vacancy density under irradiation can be orders of magnitude higher than thermal equilibrium.</t>
        </is>
      </c>
      <c r="D73" s="429" t="inlineStr">
        <is>
          <t>ORNL MSRE Has-N irradiation reports (McCoy 1969, Houtzeel 1968) for fluence data. Combine with DFT-MD for cascade-generated vacancy density estimates.</t>
        </is>
      </c>
      <c r="E73" s="429" t="inlineStr">
        <is>
          <t>MEDIUM for short-term; HIGH for long-term reactor operation</t>
        </is>
      </c>
    </row>
    <row r="74" ht="12" customHeight="1"/>
  </sheetData>
  <mergeCells count="13">
    <mergeCell ref="A1:H1"/>
    <mergeCell ref="A3:H3"/>
    <mergeCell ref="A35:H35"/>
    <mergeCell ref="A20:H20"/>
    <mergeCell ref="A43:H43"/>
    <mergeCell ref="A2:H2"/>
    <mergeCell ref="A28:H28"/>
    <mergeCell ref="A13:H13"/>
    <mergeCell ref="A14:H14"/>
    <mergeCell ref="A33:H33"/>
    <mergeCell ref="A68:H68"/>
    <mergeCell ref="A5:H5"/>
    <mergeCell ref="A58:H5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2026-05-04T21:59:38Z</dcterms:created>
  <dcterms:modified xmlns:dcterms="http://purl.org/dc/terms/" xmlns:xsi="http://www.w3.org/2001/XMLSchema-instance" xsi:type="dcterms:W3CDTF">2026-05-06T01:51:59Z</dcterms:modified>
</cp:coreProperties>
</file>